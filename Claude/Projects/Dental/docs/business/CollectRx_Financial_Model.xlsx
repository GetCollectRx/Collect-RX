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Assumptions" sheetId="2" state="visible" r:id="rId4"/>
    <sheet name="Unit Economics" sheetId="3" state="visible" r:id="rId5"/>
    <sheet name="Pilot Projection" sheetId="4" state="visible" r:id="rId6"/>
    <sheet name="Pricing Scenarios" sheetId="5" state="visible" r:id="rId7"/>
    <sheet name="Sample Invoic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<sst xmlns="http://schemas.openxmlformats.org/spreadsheetml/2006/main" count="197" uniqueCount="186">
  <si>
    <t xml:space="preserve">CollectRx — Pilot Financial Model</t>
  </si>
  <si>
    <t xml:space="preserve">Pricing structure: Hybrid (monthly base + success fee on recovered AR). Insurer pays practice directly; CollectRx invoices the practice.</t>
  </si>
  <si>
    <t xml:space="preserve">  Payment Flow — How Money Moves</t>
  </si>
  <si>
    <t xml:space="preserve">1. Insurer → Practice</t>
  </si>
  <si>
    <t xml:space="preserve">Insurer adjudicates claim and sends EFT/cheque directly to the practice's bank account.</t>
  </si>
  <si>
    <t xml:space="preserve">CollectRx never touches this money. No money-transmitter risk.</t>
  </si>
  <si>
    <t xml:space="preserve">2. Patient → Practice</t>
  </si>
  <si>
    <t xml:space="preserve">Patient pays residual balance (copay/deductible) directly to the practice via existing methods.</t>
  </si>
  <si>
    <t xml:space="preserve">Future phase: Patient-pay module routes via Stripe Connect — not in pilot.</t>
  </si>
  <si>
    <t xml:space="preserve">3. CollectRx → Practice (invoice)</t>
  </si>
  <si>
    <t xml:space="preserve">At month-end, CollectRx generates an invoice: monthly base fee + success fee × recovered AR that month.</t>
  </si>
  <si>
    <t xml:space="preserve">Delivered via Stripe Billing. Auto-debit recommended (Net 0 / ACH pre-authorized).</t>
  </si>
  <si>
    <t xml:space="preserve">4. Practice → CollectRx (payment)</t>
  </si>
  <si>
    <t xml:space="preserve">Practice's bank auto-debits invoice amount + HST. Funds settle in CollectRx operating account.</t>
  </si>
  <si>
    <t xml:space="preserve">Gross margin after Stripe fees (~2.9%) and variable costs (Vapi, Twilio) flows to the business.</t>
  </si>
  <si>
    <t xml:space="preserve">  Color Legend</t>
  </si>
  <si>
    <t xml:space="preserve">Blue</t>
  </si>
  <si>
    <t xml:space="preserve">Hardcoded input (edit these)</t>
  </si>
  <si>
    <t xml:space="preserve">Black</t>
  </si>
  <si>
    <t xml:space="preserve">Formula / calculation</t>
  </si>
  <si>
    <t xml:space="preserve">Green</t>
  </si>
  <si>
    <t xml:space="preserve">Cross-sheet link</t>
  </si>
  <si>
    <t xml:space="preserve">Yellow fill</t>
  </si>
  <si>
    <t xml:space="preserve">Key assumption — review before using</t>
  </si>
  <si>
    <t xml:space="preserve">  Sheets in this model</t>
  </si>
  <si>
    <t xml:space="preserve">Assumptions</t>
  </si>
  <si>
    <t xml:space="preserve">All input variables. Edit blue cells to change the model.</t>
  </si>
  <si>
    <t xml:space="preserve">Unit Economics</t>
  </si>
  <si>
    <t xml:space="preserve">Per-practice monthly P&amp;L in steady state and at ramp stages.</t>
  </si>
  <si>
    <t xml:space="preserve">Pilot Projection</t>
  </si>
  <si>
    <t xml:space="preserve">12-month view of 4 practices with staggered onboarding.</t>
  </si>
  <si>
    <t xml:space="preserve">Pricing Scenarios</t>
  </si>
  <si>
    <t xml:space="preserve">Sensitivity table: base fee × success fee % → revenue/practice.</t>
  </si>
  <si>
    <t xml:space="preserve">Sample Invoice</t>
  </si>
  <si>
    <t xml:space="preserve">What a monthly invoice to Dr. Hasan's practice looks like.</t>
  </si>
  <si>
    <t xml:space="preserve">Note: This is a planning model, not accounting or tax advice. Confirm HST handling and pricing structure with your CPA. CAD throughout.</t>
  </si>
  <si>
    <t xml:space="preserve">Assumptions — Edit Blue Cells</t>
  </si>
  <si>
    <t xml:space="preserve">All values CAD. Update inputs and the entire model recalculates.</t>
  </si>
  <si>
    <t xml:space="preserve">  Pricing (Your Revenue Per Practice)</t>
  </si>
  <si>
    <t xml:space="preserve">Monthly base fee (CAD)</t>
  </si>
  <si>
    <t xml:space="preserve">Keeps lights on during slow months; covers infra baseline.</t>
  </si>
  <si>
    <t xml:space="preserve">Success fee on recovered AR</t>
  </si>
  <si>
    <t xml:space="preserve">Industry range 10-25%. 12% is competitive for AI-assisted RCM.</t>
  </si>
  <si>
    <t xml:space="preserve">HST rate (Ontario, pass-through)</t>
  </si>
  <si>
    <t xml:space="preserve">Charged on invoice; remitted to CRA quarterly.</t>
  </si>
  <si>
    <t xml:space="preserve">  Practice Operations (Per Practice, Steady State)</t>
  </si>
  <si>
    <t xml:space="preserve">Average monthly aged AR (&gt;30 days) targeted by CollectRx</t>
  </si>
  <si>
    <t xml:space="preserve">Based on typical Canadian GP practice ($800K-$1.5M revenue, 8-12% AR aging).</t>
  </si>
  <si>
    <t xml:space="preserve">Recovery rate with CollectRx automation</t>
  </si>
  <si>
    <t xml:space="preserve">vs. ~40-50% baseline without systematic follow-up.</t>
  </si>
  <si>
    <t xml:space="preserve">Ramp-up multiplier — Month 1</t>
  </si>
  <si>
    <t xml:space="preserve">First month: onboarding, schema discovery, calibration.</t>
  </si>
  <si>
    <t xml:space="preserve">Ramp-up multiplier — Month 2</t>
  </si>
  <si>
    <t xml:space="preserve">Vapi squad live, still learning practice-specific patterns.</t>
  </si>
  <si>
    <t xml:space="preserve">Ramp-up multiplier — Month 3+</t>
  </si>
  <si>
    <t xml:space="preserve">Full steady state.</t>
  </si>
  <si>
    <t xml:space="preserve">  Variable Costs (Per Practice, Monthly)</t>
  </si>
  <si>
    <t xml:space="preserve">Vapi (AI voice agent)</t>
  </si>
  <si>
    <t xml:space="preserve">~2 hours active call time/day × Vapi per-minute rate.</t>
  </si>
  <si>
    <t xml:space="preserve">Twilio (telephony)</t>
  </si>
  <si>
    <t xml:space="preserve">Per-minute + trunking, Canadian DIDs.</t>
  </si>
  <si>
    <t xml:space="preserve">Stripe fees on collected revenue</t>
  </si>
  <si>
    <t xml:space="preserve">2.9% on invoice total. Apply to revenue in formulas.</t>
  </si>
  <si>
    <t xml:space="preserve">Other per-practice variable (PIIVault, misc)</t>
  </si>
  <si>
    <t xml:space="preserve">Tokenization API calls, incidental overhead.</t>
  </si>
  <si>
    <t xml:space="preserve">  Fixed Costs (Company-wide, Monthly)</t>
  </si>
  <si>
    <t xml:space="preserve">Infrastructure baseline (Railway, DB, cache)</t>
  </si>
  <si>
    <t xml:space="preserve">Non-variable portion.</t>
  </si>
  <si>
    <t xml:space="preserve">Legal / compliance amortized (PHIPA, PIPEDA)</t>
  </si>
  <si>
    <t xml:space="preserve">Annualized advisory retainer ÷ 12.</t>
  </si>
  <si>
    <t xml:space="preserve">Insurance (E&amp;O, cyber liability)</t>
  </si>
  <si>
    <t xml:space="preserve">Essential once handling PHI-adjacent workflows.</t>
  </si>
  <si>
    <t xml:space="preserve">Software &amp; tools (GitHub, Stripe, monitoring)</t>
  </si>
  <si>
    <t xml:space="preserve">Aggregated SaaS stack.</t>
  </si>
  <si>
    <t xml:space="preserve">Founder draw / salary</t>
  </si>
  <si>
    <t xml:space="preserve">Set to 0 for bootstrapped pilot; bump when cash-positive.</t>
  </si>
  <si>
    <t xml:space="preserve">Total monthly fixed costs</t>
  </si>
  <si>
    <t xml:space="preserve">  Pilot Onboarding Schedule</t>
  </si>
  <si>
    <t xml:space="preserve">Practice 1 — Dr. Hasan (Tenth Line)</t>
  </si>
  <si>
    <t xml:space="preserve">Month the practice goes live (1-12).</t>
  </si>
  <si>
    <t xml:space="preserve">Practice 2</t>
  </si>
  <si>
    <t xml:space="preserve">Practice 3</t>
  </si>
  <si>
    <t xml:space="preserve">Practice 4</t>
  </si>
  <si>
    <t xml:space="preserve">Per-Practice Unit Economics</t>
  </si>
  <si>
    <t xml:space="preserve">One practice, monthly P&amp;L at each ramp stage + annualized steady state.</t>
  </si>
  <si>
    <t xml:space="preserve">Line Item</t>
  </si>
  <si>
    <t xml:space="preserve">Month 1 (Ramp)</t>
  </si>
  <si>
    <t xml:space="preserve">Month 2 (Ramp)</t>
  </si>
  <si>
    <t xml:space="preserve">Month 3+ (Steady)</t>
  </si>
  <si>
    <t xml:space="preserve">Annualized (Steady)</t>
  </si>
  <si>
    <t xml:space="preserve">Ramp multiplier</t>
  </si>
  <si>
    <t xml:space="preserve">  Revenue</t>
  </si>
  <si>
    <t xml:space="preserve">Monthly base fee</t>
  </si>
  <si>
    <t xml:space="preserve">Recovered AR attributed to CollectRx</t>
  </si>
  <si>
    <t xml:space="preserve">Success fee revenue (% × recovered AR)</t>
  </si>
  <si>
    <t xml:space="preserve">Total monthly revenue</t>
  </si>
  <si>
    <t xml:space="preserve">  Variable Costs (per Practice)</t>
  </si>
  <si>
    <t xml:space="preserve">Vapi (voice AI)</t>
  </si>
  <si>
    <t xml:space="preserve">Other per-practice variable</t>
  </si>
  <si>
    <t xml:space="preserve">Stripe processing fees</t>
  </si>
  <si>
    <t xml:space="preserve">Total variable costs</t>
  </si>
  <si>
    <t xml:space="preserve">Gross profit per practice</t>
  </si>
  <si>
    <t xml:space="preserve">Gross margin %</t>
  </si>
  <si>
    <t xml:space="preserve">  Implications</t>
  </si>
  <si>
    <t xml:space="preserve">Contribution per practice (steady state, monthly)</t>
  </si>
  <si>
    <t xml:space="preserve">Break-even practice count</t>
  </si>
  <si>
    <t xml:space="preserve">12-month LTV per practice (steady state, no churn)</t>
  </si>
  <si>
    <t xml:space="preserve">Assumed gross margin at steady state</t>
  </si>
  <si>
    <t xml:space="preserve">12-Month Pilot Projection — 4 Practices (Staggered)</t>
  </si>
  <si>
    <t xml:space="preserve">Practices onboard per schedule in Assumptions. Each practice follows 3-month ramp curve.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</si>
  <si>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</si>
  <si>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</si>
  <si>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</si>
  <si>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</si>
  <si>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</si>
  <si>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</si>
  <si>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</si>
  <si>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</si>
  <si>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</si>
  <si>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</si>
  <si>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</si>
  <si>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</si>
  <si>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Year 1 Total</t>
  </si>
  <si>
    <t xml:space="preserve">Month #</t>
  </si>
  <si>
    <t xml:space="preserve">  Active Practices by Month</t>
  </si>
  <si>
    <t xml:space="preserve">Practice 1 (Dr. Hasan)</t>
  </si>
  <si>
    <t xml:space="preserve">Total active practices</t>
  </si>
  <si>
    <t xml:space="preserve">  Revenue per Practice (Ramp-adjusted, Monthly)</t>
  </si>
  <si>
    <t xml:space="preserve">Practice 1 revenue</t>
  </si>
  <si>
    <t xml:space="preserve">Practice 2 revenue</t>
  </si>
  <si>
    <t xml:space="preserve">Practice 3 revenue</t>
  </si>
  <si>
    <t xml:space="preserve">Practice 4 revenue</t>
  </si>
  <si>
    <t xml:space="preserve">  Costs (Monthly)</t>
  </si>
  <si>
    <t xml:space="preserve">Variable costs (per-practice × active)</t>
  </si>
  <si>
    <t xml:space="preserve">Fixed costs (company-wide)</t>
  </si>
  <si>
    <t xml:space="preserve">Total monthly costs</t>
  </si>
  <si>
    <t xml:space="preserve">  Cash Flow</t>
  </si>
  <si>
    <t xml:space="preserve">Net income (pre-tax)</t>
  </si>
  <si>
    <t xml:space="preserve">Cumulative cash position</t>
  </si>
  <si>
    <t xml:space="preserve">  Year 1 Summary</t>
  </si>
  <si>
    <t xml:space="preserve">Year 1 total revenue</t>
  </si>
  <si>
    <t xml:space="preserve">Year 1 total costs</t>
  </si>
  <si>
    <t xml:space="preserve">Year 1 net income</t>
  </si>
  <si>
    <t xml:space="preserve">Year 1 gross margin %</t>
  </si>
  <si>
    <t xml:space="preserve">Exit run-rate MRR (Month 12)</t>
  </si>
  <si>
    <t xml:space="preserve">Exit run-rate ARR (annualized)</t>
  </si>
  <si>
    <t xml:space="preserve">Pricing Scenarios — Sensitivity Analysis</t>
  </si>
  <si>
    <t xml:space="preserve">Monthly revenue per practice in steady state. Columns = Success fee %. Rows = Monthly base fee.</t>
  </si>
  <si>
    <t xml:space="preserve">  Monthly Revenue per Practice (Steady State)</t>
  </si>
  <si>
    <t xml:space="preserve">Base fee ↓ / Success % →</t>
  </si>
  <si>
    <t xml:space="preserve">  Practices Needed to Break Even (cover fixed costs)</t>
  </si>
  <si>
    <t xml:space="preserve">Recommendation:</t>
  </si>
  <si>
    <t xml:space="preserve">Current pilot pricing (base $299, success 12%) is highlighted yellow. It's defensibly priced against Canadian RCM competitors</t>
  </si>
  <si>
    <t xml:space="preserve">while leaving headroom: contribution per practice is strong enough that 3-4 pilot practices cover fixed costs.</t>
  </si>
  <si>
    <t xml:space="preserve">Raise pricing after pilot when you have case-study recovery numbers from Dr. Hasan — move to $399 base / 15% success for scale.</t>
  </si>
  <si>
    <t xml:space="preserve">Consider offering a 3-month pilot discount: $0 base + 15% success. Converts hesitant practices; success fee protects your margin.</t>
  </si>
  <si>
    <t xml:space="preserve">Sample Monthly Invoice — Dr. Hasan's Practice</t>
  </si>
  <si>
    <t xml:space="preserve">This is what one practice receives each month. Stripe Billing can generate this automatically.</t>
  </si>
  <si>
    <t xml:space="preserve">  Invoice Details</t>
  </si>
  <si>
    <t xml:space="preserve">Invoice to:</t>
  </si>
  <si>
    <t xml:space="preserve">Tenth Line Family Dentistry — Dr. Hasan</t>
  </si>
  <si>
    <t xml:space="preserve">Practice ID:</t>
  </si>
  <si>
    <t xml:space="preserve">CRX-001</t>
  </si>
  <si>
    <t xml:space="preserve">Billing period:</t>
  </si>
  <si>
    <t xml:space="preserve">April 1–30, 2026</t>
  </si>
  <si>
    <t xml:space="preserve">Invoice date:</t>
  </si>
  <si>
    <t xml:space="preserve">May 1, 2026</t>
  </si>
  <si>
    <t xml:space="preserve">Due:</t>
  </si>
  <si>
    <t xml:space="preserve">Net 0 (auto-debit via Stripe ACH)</t>
  </si>
  <si>
    <t xml:space="preserve">  Line Items</t>
  </si>
  <si>
    <t xml:space="preserve">Description</t>
  </si>
  <si>
    <t xml:space="preserve">Calculation</t>
  </si>
  <si>
    <t xml:space="preserve">Amount (CAD)</t>
  </si>
  <si>
    <t xml:space="preserve">CollectRx Platform — Monthly Base</t>
  </si>
  <si>
    <t xml:space="preserve">Recovered AR this month (illustrative)</t>
  </si>
  <si>
    <t xml:space="preserve">Subtotal</t>
  </si>
  <si>
    <t xml:space="preserve">HST (Ontario)</t>
  </si>
  <si>
    <t xml:space="preserve">TOTAL DUE</t>
  </si>
  <si>
    <t xml:space="preserve">  What CollectRx Nets from This Invoice</t>
  </si>
  <si>
    <t xml:space="preserve">Gross invoice revenue (ex-HST)</t>
  </si>
  <si>
    <t xml:space="preserve">Less: Stripe processing fees</t>
  </si>
  <si>
    <t xml:space="preserve">Less: Vapi attributable to this practice</t>
  </si>
  <si>
    <t xml:space="preserve">Less: Twilio attributable to this practice</t>
  </si>
  <si>
    <t xml:space="preserve">Less: Other variable cost</t>
  </si>
  <si>
    <t xml:space="preserve">Net contribution to CollectRx</t>
  </si>
  <si>
    <t xml:space="preserve">Note on HST: Collected from practice, held in trust, remitted to CRA quarterly. Not your revenue.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</si>
</sst>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;\(0.0%\);\-"/>
    <numFmt numFmtId="167" formatCode="#,##0;\(#,##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color rgb="FFFFFF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6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6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14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14" fillId="6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14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1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6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6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6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16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16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6" fillId="6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15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7" fillId="6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35"/>
    <col collapsed="false" customWidth="true" hidden="false" outlineLevel="0" max="4" min="4" style="1" width="20"/>
    <col collapsed="false" customWidth="true" hidden="false" outlineLevel="0" max="8" min="5" style="1" width="15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A5" s="4" t="s">
        <v>2</v>
      </c>
      <c r="B5" s="4"/>
      <c r="C5" s="4"/>
      <c r="D5" s="4"/>
      <c r="E5" s="4"/>
      <c r="F5" s="4"/>
      <c r="G5" s="4"/>
      <c r="H5" s="4"/>
    </row>
    <row r="6" customFormat="false" ht="42" hidden="false" customHeight="true" outlineLevel="0" collapsed="false">
      <c r="B6" s="5" t="s">
        <v>3</v>
      </c>
      <c r="C6" s="6" t="s">
        <v>4</v>
      </c>
      <c r="D6" s="6"/>
      <c r="E6" s="6"/>
      <c r="F6" s="6"/>
      <c r="G6" s="3" t="s">
        <v>5</v>
      </c>
      <c r="H6" s="3"/>
    </row>
    <row r="7" customFormat="false" ht="42" hidden="false" customHeight="true" outlineLevel="0" collapsed="false">
      <c r="B7" s="5" t="s">
        <v>6</v>
      </c>
      <c r="C7" s="6" t="s">
        <v>7</v>
      </c>
      <c r="D7" s="6"/>
      <c r="E7" s="6"/>
      <c r="F7" s="6"/>
      <c r="G7" s="3" t="s">
        <v>8</v>
      </c>
      <c r="H7" s="3"/>
    </row>
    <row r="8" customFormat="false" ht="42" hidden="false" customHeight="true" outlineLevel="0" collapsed="false">
      <c r="B8" s="5" t="s">
        <v>9</v>
      </c>
      <c r="C8" s="6" t="s">
        <v>10</v>
      </c>
      <c r="D8" s="6"/>
      <c r="E8" s="6"/>
      <c r="F8" s="6"/>
      <c r="G8" s="3" t="s">
        <v>11</v>
      </c>
      <c r="H8" s="3"/>
    </row>
    <row r="9" customFormat="false" ht="42" hidden="false" customHeight="true" outlineLevel="0" collapsed="false">
      <c r="B9" s="5" t="s">
        <v>12</v>
      </c>
      <c r="C9" s="6" t="s">
        <v>13</v>
      </c>
      <c r="D9" s="6"/>
      <c r="E9" s="6"/>
      <c r="F9" s="6"/>
      <c r="G9" s="3" t="s">
        <v>14</v>
      </c>
      <c r="H9" s="3"/>
    </row>
    <row r="11" customFormat="false" ht="15" hidden="false" customHeight="true" outlineLevel="0" collapsed="false">
      <c r="A11" s="4" t="s">
        <v>15</v>
      </c>
      <c r="B11" s="4"/>
      <c r="C11" s="4"/>
      <c r="D11" s="4"/>
      <c r="E11" s="4"/>
      <c r="F11" s="4"/>
      <c r="G11" s="4"/>
      <c r="H11" s="4"/>
    </row>
    <row r="12" customFormat="false" ht="15" hidden="false" customHeight="false" outlineLevel="0" collapsed="false">
      <c r="B12" s="7" t="s">
        <v>16</v>
      </c>
      <c r="C12" s="8" t="s">
        <v>17</v>
      </c>
    </row>
    <row r="13" customFormat="false" ht="15" hidden="false" customHeight="false" outlineLevel="0" collapsed="false">
      <c r="B13" s="9" t="s">
        <v>18</v>
      </c>
      <c r="C13" s="8" t="s">
        <v>19</v>
      </c>
    </row>
    <row r="14" customFormat="false" ht="15" hidden="false" customHeight="false" outlineLevel="0" collapsed="false">
      <c r="B14" s="10" t="s">
        <v>20</v>
      </c>
      <c r="C14" s="8" t="s">
        <v>21</v>
      </c>
    </row>
    <row r="15" customFormat="false" ht="15" hidden="false" customHeight="false" outlineLevel="0" collapsed="false">
      <c r="B15" s="11" t="s">
        <v>22</v>
      </c>
      <c r="C15" s="8" t="s">
        <v>23</v>
      </c>
    </row>
    <row r="17" customFormat="false" ht="15" hidden="false" customHeight="true" outlineLevel="0" collapsed="false">
      <c r="A17" s="4" t="s">
        <v>24</v>
      </c>
      <c r="B17" s="4"/>
      <c r="C17" s="4"/>
      <c r="D17" s="4"/>
      <c r="E17" s="4"/>
      <c r="F17" s="4"/>
      <c r="G17" s="4"/>
      <c r="H17" s="4"/>
    </row>
    <row r="18" customFormat="false" ht="15" hidden="false" customHeight="false" outlineLevel="0" collapsed="false">
      <c r="B18" s="9" t="s">
        <v>25</v>
      </c>
      <c r="C18" s="12" t="s">
        <v>26</v>
      </c>
      <c r="D18" s="12"/>
      <c r="E18" s="12"/>
      <c r="F18" s="12"/>
      <c r="G18" s="12"/>
    </row>
    <row r="19" customFormat="false" ht="15" hidden="false" customHeight="false" outlineLevel="0" collapsed="false">
      <c r="B19" s="9" t="s">
        <v>27</v>
      </c>
      <c r="C19" s="12" t="s">
        <v>28</v>
      </c>
      <c r="D19" s="12"/>
      <c r="E19" s="12"/>
      <c r="F19" s="12"/>
      <c r="G19" s="12"/>
    </row>
    <row r="20" customFormat="false" ht="15" hidden="false" customHeight="false" outlineLevel="0" collapsed="false">
      <c r="B20" s="9" t="s">
        <v>29</v>
      </c>
      <c r="C20" s="12" t="s">
        <v>30</v>
      </c>
      <c r="D20" s="12"/>
      <c r="E20" s="12"/>
      <c r="F20" s="12"/>
      <c r="G20" s="12"/>
    </row>
    <row r="21" customFormat="false" ht="15" hidden="false" customHeight="false" outlineLevel="0" collapsed="false">
      <c r="B21" s="9" t="s">
        <v>31</v>
      </c>
      <c r="C21" s="12" t="s">
        <v>32</v>
      </c>
      <c r="D21" s="12"/>
      <c r="E21" s="12"/>
      <c r="F21" s="12"/>
      <c r="G21" s="12"/>
    </row>
    <row r="22" customFormat="false" ht="15" hidden="false" customHeight="false" outlineLevel="0" collapsed="false">
      <c r="B22" s="9" t="s">
        <v>33</v>
      </c>
      <c r="C22" s="12" t="s">
        <v>34</v>
      </c>
      <c r="D22" s="12"/>
      <c r="E22" s="12"/>
      <c r="F22" s="12"/>
      <c r="G22" s="12"/>
    </row>
    <row r="25" customFormat="false" ht="15" hidden="false" customHeight="false" outlineLevel="0" collapsed="false">
      <c r="B25" s="3" t="s">
        <v>35</v>
      </c>
      <c r="C25" s="3"/>
      <c r="D25" s="3"/>
      <c r="E25" s="3"/>
      <c r="F25" s="3"/>
      <c r="G25" s="3"/>
      <c r="H25" s="3"/>
    </row>
  </sheetData>
  <mergeCells count="19">
    <mergeCell ref="A1:H2"/>
    <mergeCell ref="A3:H3"/>
    <mergeCell ref="A5:H5"/>
    <mergeCell ref="C6:F6"/>
    <mergeCell ref="G6:H6"/>
    <mergeCell ref="C7:F7"/>
    <mergeCell ref="G7:H7"/>
    <mergeCell ref="C8:F8"/>
    <mergeCell ref="G8:H8"/>
    <mergeCell ref="C9:F9"/>
    <mergeCell ref="G9:H9"/>
    <mergeCell ref="A11:H11"/>
    <mergeCell ref="A17:H17"/>
    <mergeCell ref="C18:G18"/>
    <mergeCell ref="C19:G19"/>
    <mergeCell ref="C20:G20"/>
    <mergeCell ref="C21:G21"/>
    <mergeCell ref="C22:G22"/>
    <mergeCell ref="B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4" min="4" style="1" width="40"/>
  </cols>
  <sheetData>
    <row r="1" customFormat="false" ht="19.7" hidden="false" customHeight="true" outlineLevel="0" collapsed="false">
      <c r="A1" s="13" t="s">
        <v>36</v>
      </c>
      <c r="B1" s="13"/>
      <c r="C1" s="13"/>
      <c r="D1" s="13"/>
    </row>
    <row r="2" customFormat="false" ht="15" hidden="false" customHeight="false" outlineLevel="0" collapsed="false">
      <c r="A2" s="3" t="s">
        <v>37</v>
      </c>
      <c r="B2" s="3"/>
      <c r="C2" s="3"/>
      <c r="D2" s="3"/>
    </row>
    <row r="4" customFormat="false" ht="15" hidden="false" customHeight="true" outlineLevel="0" collapsed="false">
      <c r="A4" s="4" t="s">
        <v>38</v>
      </c>
      <c r="B4" s="4"/>
      <c r="C4" s="4"/>
      <c r="D4" s="4"/>
    </row>
    <row r="5" customFormat="false" ht="15" hidden="false" customHeight="false" outlineLevel="0" collapsed="false">
      <c r="B5" s="1" t="s">
        <v>39</v>
      </c>
      <c r="C5" s="14" t="n">
        <v>299</v>
      </c>
      <c r="D5" s="15" t="s">
        <v>40</v>
      </c>
    </row>
    <row r="6" customFormat="false" ht="15" hidden="false" customHeight="false" outlineLevel="0" collapsed="false">
      <c r="B6" s="1" t="s">
        <v>41</v>
      </c>
      <c r="C6" s="16" t="n">
        <v>0.12</v>
      </c>
      <c r="D6" s="15" t="s">
        <v>42</v>
      </c>
    </row>
    <row r="7" customFormat="false" ht="15" hidden="false" customHeight="false" outlineLevel="0" collapsed="false">
      <c r="B7" s="1" t="s">
        <v>43</v>
      </c>
      <c r="C7" s="17" t="n">
        <v>0.13</v>
      </c>
      <c r="D7" s="15" t="s">
        <v>44</v>
      </c>
    </row>
    <row r="9" customFormat="false" ht="15" hidden="false" customHeight="true" outlineLevel="0" collapsed="false">
      <c r="A9" s="4" t="s">
        <v>45</v>
      </c>
      <c r="B9" s="4"/>
      <c r="C9" s="4"/>
      <c r="D9" s="4"/>
    </row>
    <row r="10" customFormat="false" ht="15" hidden="false" customHeight="false" outlineLevel="0" collapsed="false">
      <c r="B10" s="1" t="s">
        <v>46</v>
      </c>
      <c r="C10" s="14" t="n">
        <v>8000</v>
      </c>
      <c r="D10" s="15" t="s">
        <v>47</v>
      </c>
    </row>
    <row r="11" customFormat="false" ht="15" hidden="false" customHeight="false" outlineLevel="0" collapsed="false">
      <c r="B11" s="1" t="s">
        <v>48</v>
      </c>
      <c r="C11" s="16" t="n">
        <v>0.7</v>
      </c>
      <c r="D11" s="15" t="s">
        <v>49</v>
      </c>
    </row>
    <row r="12" customFormat="false" ht="15" hidden="false" customHeight="false" outlineLevel="0" collapsed="false">
      <c r="B12" s="1" t="s">
        <v>50</v>
      </c>
      <c r="C12" s="17" t="n">
        <v>0.3</v>
      </c>
      <c r="D12" s="15" t="s">
        <v>51</v>
      </c>
    </row>
    <row r="13" customFormat="false" ht="15" hidden="false" customHeight="false" outlineLevel="0" collapsed="false">
      <c r="B13" s="1" t="s">
        <v>52</v>
      </c>
      <c r="C13" s="17" t="n">
        <v>0.65</v>
      </c>
      <c r="D13" s="15" t="s">
        <v>53</v>
      </c>
    </row>
    <row r="14" customFormat="false" ht="15" hidden="false" customHeight="false" outlineLevel="0" collapsed="false">
      <c r="B14" s="1" t="s">
        <v>54</v>
      </c>
      <c r="C14" s="17" t="n">
        <v>1</v>
      </c>
      <c r="D14" s="15" t="s">
        <v>55</v>
      </c>
    </row>
    <row r="16" customFormat="false" ht="15" hidden="false" customHeight="true" outlineLevel="0" collapsed="false">
      <c r="A16" s="4" t="s">
        <v>56</v>
      </c>
      <c r="B16" s="4"/>
      <c r="C16" s="4"/>
      <c r="D16" s="4"/>
    </row>
    <row r="17" customFormat="false" ht="15" hidden="false" customHeight="false" outlineLevel="0" collapsed="false">
      <c r="B17" s="1" t="s">
        <v>57</v>
      </c>
      <c r="C17" s="18" t="n">
        <v>280</v>
      </c>
      <c r="D17" s="15" t="s">
        <v>58</v>
      </c>
    </row>
    <row r="18" customFormat="false" ht="15" hidden="false" customHeight="false" outlineLevel="0" collapsed="false">
      <c r="B18" s="1" t="s">
        <v>59</v>
      </c>
      <c r="C18" s="18" t="n">
        <v>75</v>
      </c>
      <c r="D18" s="15" t="s">
        <v>60</v>
      </c>
    </row>
    <row r="19" customFormat="false" ht="15" hidden="false" customHeight="false" outlineLevel="0" collapsed="false">
      <c r="B19" s="1" t="s">
        <v>61</v>
      </c>
      <c r="C19" s="17" t="n">
        <v>0.029</v>
      </c>
      <c r="D19" s="15" t="s">
        <v>62</v>
      </c>
    </row>
    <row r="20" customFormat="false" ht="15" hidden="false" customHeight="false" outlineLevel="0" collapsed="false">
      <c r="B20" s="1" t="s">
        <v>63</v>
      </c>
      <c r="C20" s="18" t="n">
        <v>50</v>
      </c>
      <c r="D20" s="15" t="s">
        <v>64</v>
      </c>
    </row>
    <row r="22" customFormat="false" ht="15" hidden="false" customHeight="true" outlineLevel="0" collapsed="false">
      <c r="A22" s="4" t="s">
        <v>65</v>
      </c>
      <c r="B22" s="4"/>
      <c r="C22" s="4"/>
      <c r="D22" s="4"/>
    </row>
    <row r="23" customFormat="false" ht="15" hidden="false" customHeight="false" outlineLevel="0" collapsed="false">
      <c r="B23" s="1" t="s">
        <v>66</v>
      </c>
      <c r="C23" s="18" t="n">
        <v>200</v>
      </c>
      <c r="D23" s="15" t="s">
        <v>67</v>
      </c>
    </row>
    <row r="24" customFormat="false" ht="15" hidden="false" customHeight="false" outlineLevel="0" collapsed="false">
      <c r="B24" s="1" t="s">
        <v>68</v>
      </c>
      <c r="C24" s="18" t="n">
        <v>300</v>
      </c>
      <c r="D24" s="15" t="s">
        <v>69</v>
      </c>
    </row>
    <row r="25" customFormat="false" ht="15" hidden="false" customHeight="false" outlineLevel="0" collapsed="false">
      <c r="B25" s="1" t="s">
        <v>70</v>
      </c>
      <c r="C25" s="18" t="n">
        <v>250</v>
      </c>
      <c r="D25" s="15" t="s">
        <v>71</v>
      </c>
    </row>
    <row r="26" customFormat="false" ht="15" hidden="false" customHeight="false" outlineLevel="0" collapsed="false">
      <c r="B26" s="1" t="s">
        <v>72</v>
      </c>
      <c r="C26" s="18" t="n">
        <v>200</v>
      </c>
      <c r="D26" s="15" t="s">
        <v>73</v>
      </c>
    </row>
    <row r="27" customFormat="false" ht="15" hidden="false" customHeight="false" outlineLevel="0" collapsed="false">
      <c r="B27" s="1" t="s">
        <v>74</v>
      </c>
      <c r="C27" s="18" t="n">
        <v>0</v>
      </c>
      <c r="D27" s="15" t="s">
        <v>75</v>
      </c>
    </row>
    <row r="29" customFormat="false" ht="15" hidden="false" customHeight="false" outlineLevel="0" collapsed="false">
      <c r="B29" s="9" t="s">
        <v>76</v>
      </c>
      <c r="C29" s="19" t="n">
        <f aca="false">SUM(Assumptions!$C$23:$C$27)</f>
        <v>950</v>
      </c>
    </row>
    <row r="31" customFormat="false" ht="15" hidden="false" customHeight="true" outlineLevel="0" collapsed="false">
      <c r="A31" s="4" t="s">
        <v>77</v>
      </c>
      <c r="B31" s="4"/>
      <c r="C31" s="4"/>
      <c r="D31" s="4"/>
    </row>
    <row r="32" customFormat="false" ht="15" hidden="false" customHeight="false" outlineLevel="0" collapsed="false">
      <c r="B32" s="1" t="s">
        <v>78</v>
      </c>
      <c r="C32" s="20" t="n">
        <v>1</v>
      </c>
      <c r="D32" s="15" t="s">
        <v>79</v>
      </c>
    </row>
    <row r="33" customFormat="false" ht="15" hidden="false" customHeight="false" outlineLevel="0" collapsed="false">
      <c r="B33" s="1" t="s">
        <v>80</v>
      </c>
      <c r="C33" s="20" t="n">
        <v>3</v>
      </c>
      <c r="D33" s="15" t="s">
        <v>79</v>
      </c>
    </row>
    <row r="34" customFormat="false" ht="15" hidden="false" customHeight="false" outlineLevel="0" collapsed="false">
      <c r="B34" s="1" t="s">
        <v>81</v>
      </c>
      <c r="C34" s="20" t="n">
        <v>5</v>
      </c>
      <c r="D34" s="15" t="s">
        <v>79</v>
      </c>
    </row>
    <row r="35" customFormat="false" ht="15" hidden="false" customHeight="false" outlineLevel="0" collapsed="false">
      <c r="B35" s="1" t="s">
        <v>82</v>
      </c>
      <c r="C35" s="20" t="n">
        <v>7</v>
      </c>
      <c r="D35" s="15" t="s">
        <v>79</v>
      </c>
    </row>
  </sheetData>
  <mergeCells count="7">
    <mergeCell ref="A1:D1"/>
    <mergeCell ref="A2:D2"/>
    <mergeCell ref="A4:D4"/>
    <mergeCell ref="A9:D9"/>
    <mergeCell ref="A16:D16"/>
    <mergeCell ref="A22:D22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5" min="3" style="1" width="16"/>
    <col collapsed="false" customWidth="true" hidden="false" outlineLevel="0" max="6" min="6" style="1" width="18"/>
  </cols>
  <sheetData>
    <row r="1" customFormat="false" ht="19.7" hidden="false" customHeight="true" outlineLevel="0" collapsed="false">
      <c r="A1" s="13" t="s">
        <v>83</v>
      </c>
      <c r="B1" s="13"/>
      <c r="C1" s="13"/>
      <c r="D1" s="13"/>
      <c r="E1" s="13"/>
      <c r="F1" s="13"/>
    </row>
    <row r="2" customFormat="false" ht="15" hidden="false" customHeight="false" outlineLevel="0" collapsed="false">
      <c r="A2" s="3" t="s">
        <v>84</v>
      </c>
      <c r="B2" s="3"/>
      <c r="C2" s="3"/>
      <c r="D2" s="3"/>
      <c r="E2" s="3"/>
      <c r="F2" s="3"/>
    </row>
    <row r="4" customFormat="false" ht="26.85" hidden="false" customHeight="false" outlineLevel="0" collapsed="false">
      <c r="B4" s="21" t="s">
        <v>85</v>
      </c>
      <c r="C4" s="21" t="s">
        <v>86</v>
      </c>
      <c r="D4" s="21" t="s">
        <v>87</v>
      </c>
      <c r="E4" s="21" t="s">
        <v>88</v>
      </c>
      <c r="F4" s="21" t="s">
        <v>89</v>
      </c>
    </row>
    <row r="5" customFormat="false" ht="15" hidden="false" customHeight="false" outlineLevel="0" collapsed="false">
      <c r="B5" s="15" t="s">
        <v>90</v>
      </c>
      <c r="C5" s="22" t="n">
        <f aca="false">Assumptions!$C$12</f>
        <v>0.3</v>
      </c>
      <c r="D5" s="22" t="n">
        <f aca="false">Assumptions!$C$13</f>
        <v>0.65</v>
      </c>
      <c r="E5" s="22" t="n">
        <f aca="false">Assumptions!$C$14</f>
        <v>1</v>
      </c>
      <c r="F5" s="23"/>
    </row>
    <row r="7" customFormat="false" ht="15" hidden="false" customHeight="true" outlineLevel="0" collapsed="false">
      <c r="A7" s="4" t="s">
        <v>91</v>
      </c>
      <c r="B7" s="4"/>
      <c r="C7" s="4"/>
      <c r="D7" s="4"/>
      <c r="E7" s="4"/>
      <c r="F7" s="4"/>
    </row>
    <row r="8" customFormat="false" ht="15" hidden="false" customHeight="false" outlineLevel="0" collapsed="false">
      <c r="B8" s="1" t="s">
        <v>92</v>
      </c>
      <c r="C8" s="24" t="n">
        <f aca="false">Assumptions!$C$5</f>
        <v>299</v>
      </c>
      <c r="D8" s="24" t="n">
        <f aca="false">Assumptions!$C$5</f>
        <v>299</v>
      </c>
      <c r="E8" s="24" t="n">
        <f aca="false">Assumptions!$C$5</f>
        <v>299</v>
      </c>
      <c r="F8" s="25" t="n">
        <f aca="false">E8*12</f>
        <v>3588</v>
      </c>
    </row>
    <row r="9" customFormat="false" ht="15" hidden="false" customHeight="false" outlineLevel="0" collapsed="false">
      <c r="B9" s="15" t="s">
        <v>93</v>
      </c>
      <c r="C9" s="25" t="n">
        <f aca="false">Assumptions!$C$10*Assumptions!$C$11*C5</f>
        <v>1680</v>
      </c>
      <c r="D9" s="25" t="n">
        <f aca="false">Assumptions!$C$10*Assumptions!$C$11*D5</f>
        <v>3640</v>
      </c>
      <c r="E9" s="25" t="n">
        <f aca="false">Assumptions!$C$10*Assumptions!$C$11*E5</f>
        <v>5600</v>
      </c>
      <c r="F9" s="25" t="n">
        <f aca="false">E9*12</f>
        <v>67200</v>
      </c>
    </row>
    <row r="10" customFormat="false" ht="15" hidden="false" customHeight="false" outlineLevel="0" collapsed="false">
      <c r="B10" s="1" t="s">
        <v>94</v>
      </c>
      <c r="C10" s="25" t="n">
        <f aca="false">C9*Assumptions!$C$6</f>
        <v>201.6</v>
      </c>
      <c r="D10" s="25" t="n">
        <f aca="false">D9*Assumptions!$C$6</f>
        <v>436.8</v>
      </c>
      <c r="E10" s="25" t="n">
        <f aca="false">E9*Assumptions!$C$6</f>
        <v>672</v>
      </c>
      <c r="F10" s="25" t="n">
        <f aca="false">E10*12</f>
        <v>8064</v>
      </c>
    </row>
    <row r="11" customFormat="false" ht="15" hidden="false" customHeight="false" outlineLevel="0" collapsed="false">
      <c r="B11" s="26" t="s">
        <v>95</v>
      </c>
      <c r="C11" s="27" t="n">
        <f aca="false">C8+C10</f>
        <v>500.6</v>
      </c>
      <c r="D11" s="27" t="n">
        <f aca="false">D8+D10</f>
        <v>735.8</v>
      </c>
      <c r="E11" s="27" t="n">
        <f aca="false">E8+E10</f>
        <v>971</v>
      </c>
      <c r="F11" s="27" t="n">
        <f aca="false">F8+F10</f>
        <v>11652</v>
      </c>
    </row>
    <row r="13" customFormat="false" ht="15" hidden="false" customHeight="true" outlineLevel="0" collapsed="false">
      <c r="A13" s="4" t="s">
        <v>96</v>
      </c>
      <c r="B13" s="4"/>
      <c r="C13" s="4"/>
      <c r="D13" s="4"/>
      <c r="E13" s="4"/>
      <c r="F13" s="4"/>
    </row>
    <row r="14" customFormat="false" ht="15" hidden="false" customHeight="false" outlineLevel="0" collapsed="false">
      <c r="B14" s="1" t="s">
        <v>97</v>
      </c>
      <c r="C14" s="24" t="n">
        <f aca="false">Assumptions!$C$17</f>
        <v>280</v>
      </c>
      <c r="D14" s="24" t="n">
        <f aca="false">Assumptions!$C$17</f>
        <v>280</v>
      </c>
      <c r="E14" s="24" t="n">
        <f aca="false">Assumptions!$C$17</f>
        <v>280</v>
      </c>
      <c r="F14" s="25" t="n">
        <f aca="false">E14*12</f>
        <v>3360</v>
      </c>
    </row>
    <row r="15" customFormat="false" ht="15" hidden="false" customHeight="false" outlineLevel="0" collapsed="false">
      <c r="B15" s="1" t="s">
        <v>59</v>
      </c>
      <c r="C15" s="24" t="n">
        <f aca="false">Assumptions!$C$18</f>
        <v>75</v>
      </c>
      <c r="D15" s="24" t="n">
        <f aca="false">Assumptions!$C$18</f>
        <v>75</v>
      </c>
      <c r="E15" s="24" t="n">
        <f aca="false">Assumptions!$C$18</f>
        <v>75</v>
      </c>
      <c r="F15" s="25" t="n">
        <f aca="false">E15*12</f>
        <v>900</v>
      </c>
    </row>
    <row r="16" customFormat="false" ht="15" hidden="false" customHeight="false" outlineLevel="0" collapsed="false">
      <c r="B16" s="1" t="s">
        <v>98</v>
      </c>
      <c r="C16" s="24" t="n">
        <f aca="false">Assumptions!$C$20</f>
        <v>50</v>
      </c>
      <c r="D16" s="24" t="n">
        <f aca="false">Assumptions!$C$20</f>
        <v>50</v>
      </c>
      <c r="E16" s="24" t="n">
        <f aca="false">Assumptions!$C$20</f>
        <v>50</v>
      </c>
      <c r="F16" s="25" t="n">
        <f aca="false">E16*12</f>
        <v>600</v>
      </c>
    </row>
    <row r="17" customFormat="false" ht="15" hidden="false" customHeight="false" outlineLevel="0" collapsed="false">
      <c r="B17" s="1" t="s">
        <v>99</v>
      </c>
      <c r="C17" s="25" t="n">
        <f aca="false">C11*Assumptions!$C$19</f>
        <v>14.5174</v>
      </c>
      <c r="D17" s="25" t="n">
        <f aca="false">D11*Assumptions!$C$19</f>
        <v>21.3382</v>
      </c>
      <c r="E17" s="25" t="n">
        <f aca="false">E11*Assumptions!$C$19</f>
        <v>28.159</v>
      </c>
      <c r="F17" s="25" t="n">
        <f aca="false">E17*12</f>
        <v>337.908</v>
      </c>
    </row>
    <row r="18" customFormat="false" ht="15" hidden="false" customHeight="false" outlineLevel="0" collapsed="false">
      <c r="B18" s="26" t="s">
        <v>100</v>
      </c>
      <c r="C18" s="27" t="n">
        <f aca="false">SUM(C14:C17)</f>
        <v>419.5174</v>
      </c>
      <c r="D18" s="27" t="n">
        <f aca="false">SUM(D14:D17)</f>
        <v>426.3382</v>
      </c>
      <c r="E18" s="27" t="n">
        <f aca="false">SUM(E14:E17)</f>
        <v>433.159</v>
      </c>
      <c r="F18" s="27" t="n">
        <f aca="false">SUM(F14:F17)</f>
        <v>5197.908</v>
      </c>
    </row>
    <row r="20" customFormat="false" ht="15" hidden="false" customHeight="false" outlineLevel="0" collapsed="false">
      <c r="B20" s="26" t="s">
        <v>101</v>
      </c>
      <c r="C20" s="28" t="n">
        <f aca="false">C11-C18</f>
        <v>81.0826</v>
      </c>
      <c r="D20" s="28" t="n">
        <f aca="false">D11-D18</f>
        <v>309.4618</v>
      </c>
      <c r="E20" s="28" t="n">
        <f aca="false">E11-E18</f>
        <v>537.841</v>
      </c>
      <c r="F20" s="28" t="n">
        <f aca="false">F11-F18</f>
        <v>6454.092</v>
      </c>
    </row>
    <row r="21" customFormat="false" ht="15" hidden="false" customHeight="false" outlineLevel="0" collapsed="false">
      <c r="B21" s="26" t="s">
        <v>102</v>
      </c>
      <c r="C21" s="29" t="n">
        <f aca="false">IFERROR(C20/C11,0)</f>
        <v>0.161970834998002</v>
      </c>
      <c r="D21" s="29" t="n">
        <f aca="false">IFERROR(D20/D11,0)</f>
        <v>0.420578689861375</v>
      </c>
      <c r="E21" s="29" t="n">
        <f aca="false">IFERROR(E20/E11,0)</f>
        <v>0.553904222451081</v>
      </c>
      <c r="F21" s="29" t="n">
        <f aca="false">IFERROR(F20/F11,0)</f>
        <v>0.553904222451081</v>
      </c>
    </row>
    <row r="23" customFormat="false" ht="15" hidden="false" customHeight="true" outlineLevel="0" collapsed="false">
      <c r="A23" s="4" t="s">
        <v>103</v>
      </c>
      <c r="B23" s="4"/>
      <c r="C23" s="4"/>
      <c r="D23" s="4"/>
      <c r="E23" s="4"/>
      <c r="F23" s="4"/>
    </row>
    <row r="24" customFormat="false" ht="15" hidden="false" customHeight="false" outlineLevel="0" collapsed="false">
      <c r="B24" s="1" t="s">
        <v>104</v>
      </c>
      <c r="C24" s="30" t="n">
        <f aca="false">E20</f>
        <v>537.841</v>
      </c>
    </row>
    <row r="25" customFormat="false" ht="15" hidden="false" customHeight="false" outlineLevel="0" collapsed="false">
      <c r="B25" s="1" t="s">
        <v>105</v>
      </c>
      <c r="C25" s="31" t="n">
        <f aca="false">CEILING(Assumptions!$C$29/E20,1)</f>
        <v>2</v>
      </c>
    </row>
    <row r="26" customFormat="false" ht="15" hidden="false" customHeight="false" outlineLevel="0" collapsed="false">
      <c r="B26" s="1" t="s">
        <v>106</v>
      </c>
      <c r="C26" s="30" t="n">
        <f aca="false">F20</f>
        <v>6454.092</v>
      </c>
    </row>
    <row r="27" customFormat="false" ht="15" hidden="false" customHeight="false" outlineLevel="0" collapsed="false">
      <c r="B27" s="1" t="s">
        <v>107</v>
      </c>
      <c r="C27" s="32" t="n">
        <f aca="false">E21</f>
        <v>0.553904222451081</v>
      </c>
    </row>
  </sheetData>
  <mergeCells count="5">
    <mergeCell ref="A1:F1"/>
    <mergeCell ref="A2:F2"/>
    <mergeCell ref="A7:F7"/>
    <mergeCell ref="A13:F13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14" min="3" style="1" width="12"/>
    <col collapsed="false" customWidth="true" hidden="false" outlineLevel="0" max="15" min="15" style="1" width="14"/>
  </cols>
  <sheetData>
    <row r="1" customFormat="false" ht="19.7" hidden="false" customHeight="true" outlineLevel="0" collapsed="false">
      <c r="A1" s="13" t="s">
        <v>108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customFormat="false" ht="15" hidden="false" customHeight="false" outlineLevel="0" collapsed="false">
      <c r="A2" s="3" t="s">
        <v>109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customFormat="false" ht="15" hidden="false" customHeight="false" outlineLevel="0" collapsed="false">
      <c r="B4" s="21" t="s">
        <v>85</v>
      </c>
      <c r="C4" s="21" t="s">
        <v>110</v>
      </c>
      <c r="D4" s="21" t="s">
        <v>111</v>
      </c>
      <c r="E4" s="21" t="s">
        <v>112</v>
      </c>
      <c r="F4" s="21" t="s">
        <v>113</v>
      </c>
      <c r="G4" s="21" t="s">
        <v>114</v>
      </c>
      <c r="H4" s="21" t="s">
        <v>115</v>
      </c>
      <c r="I4" s="21" t="s">
        <v>116</v>
      </c>
      <c r="J4" s="21" t="s">
        <v>117</v>
      </c>
      <c r="K4" s="21" t="s">
        <v>118</v>
      </c>
      <c r="L4" s="21" t="s">
        <v>119</v>
      </c>
      <c r="M4" s="21" t="s">
        <v>120</v>
      </c>
      <c r="N4" s="21" t="s">
        <v>121</v>
      </c>
      <c r="O4" s="21" t="s">
        <v>122</v>
      </c>
    </row>
    <row r="5" customFormat="false" ht="15" hidden="false" customHeight="false" outlineLevel="0" collapsed="false">
      <c r="B5" s="15" t="s">
        <v>123</v>
      </c>
      <c r="C5" s="33" t="n">
        <v>1</v>
      </c>
      <c r="D5" s="33" t="n">
        <v>2</v>
      </c>
      <c r="E5" s="33" t="n">
        <v>3</v>
      </c>
      <c r="F5" s="33" t="n">
        <v>4</v>
      </c>
      <c r="G5" s="33" t="n">
        <v>5</v>
      </c>
      <c r="H5" s="33" t="n">
        <v>6</v>
      </c>
      <c r="I5" s="33" t="n">
        <v>7</v>
      </c>
      <c r="J5" s="33" t="n">
        <v>8</v>
      </c>
      <c r="K5" s="33" t="n">
        <v>9</v>
      </c>
      <c r="L5" s="33" t="n">
        <v>10</v>
      </c>
      <c r="M5" s="33" t="n">
        <v>11</v>
      </c>
      <c r="N5" s="33" t="n">
        <v>12</v>
      </c>
    </row>
    <row r="7" customFormat="false" ht="15" hidden="false" customHeight="true" outlineLevel="0" collapsed="false">
      <c r="A7" s="4" t="s">
        <v>124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customFormat="false" ht="15" hidden="false" customHeight="false" outlineLevel="0" collapsed="false">
      <c r="B8" s="1" t="s">
        <v>125</v>
      </c>
      <c r="C8" s="34" t="n">
        <f aca="false">IF(C5&gt;=Assumptions!$C$32,1,0)</f>
        <v>1</v>
      </c>
      <c r="D8" s="34" t="n">
        <f aca="false">IF(D5&gt;=Assumptions!$C$32,1,0)</f>
        <v>1</v>
      </c>
      <c r="E8" s="34" t="n">
        <f aca="false">IF(E5&gt;=Assumptions!$C$32,1,0)</f>
        <v>1</v>
      </c>
      <c r="F8" s="34" t="n">
        <f aca="false">IF(F5&gt;=Assumptions!$C$32,1,0)</f>
        <v>1</v>
      </c>
      <c r="G8" s="34" t="n">
        <f aca="false">IF(G5&gt;=Assumptions!$C$32,1,0)</f>
        <v>1</v>
      </c>
      <c r="H8" s="34" t="n">
        <f aca="false">IF(H5&gt;=Assumptions!$C$32,1,0)</f>
        <v>1</v>
      </c>
      <c r="I8" s="34" t="n">
        <f aca="false">IF(I5&gt;=Assumptions!$C$32,1,0)</f>
        <v>1</v>
      </c>
      <c r="J8" s="34" t="n">
        <f aca="false">IF(J5&gt;=Assumptions!$C$32,1,0)</f>
        <v>1</v>
      </c>
      <c r="K8" s="34" t="n">
        <f aca="false">IF(K5&gt;=Assumptions!$C$32,1,0)</f>
        <v>1</v>
      </c>
      <c r="L8" s="34" t="n">
        <f aca="false">IF(L5&gt;=Assumptions!$C$32,1,0)</f>
        <v>1</v>
      </c>
      <c r="M8" s="34" t="n">
        <f aca="false">IF(M5&gt;=Assumptions!$C$32,1,0)</f>
        <v>1</v>
      </c>
      <c r="N8" s="34" t="n">
        <f aca="false">IF(N5&gt;=Assumptions!$C$32,1,0)</f>
        <v>1</v>
      </c>
    </row>
    <row r="9" customFormat="false" ht="15" hidden="false" customHeight="false" outlineLevel="0" collapsed="false">
      <c r="B9" s="1" t="s">
        <v>80</v>
      </c>
      <c r="C9" s="34" t="n">
        <f aca="false">IF(C5&gt;=Assumptions!$C$33,1,0)</f>
        <v>0</v>
      </c>
      <c r="D9" s="34" t="n">
        <f aca="false">IF(D5&gt;=Assumptions!$C$33,1,0)</f>
        <v>0</v>
      </c>
      <c r="E9" s="34" t="n">
        <f aca="false">IF(E5&gt;=Assumptions!$C$33,1,0)</f>
        <v>1</v>
      </c>
      <c r="F9" s="34" t="n">
        <f aca="false">IF(F5&gt;=Assumptions!$C$33,1,0)</f>
        <v>1</v>
      </c>
      <c r="G9" s="34" t="n">
        <f aca="false">IF(G5&gt;=Assumptions!$C$33,1,0)</f>
        <v>1</v>
      </c>
      <c r="H9" s="34" t="n">
        <f aca="false">IF(H5&gt;=Assumptions!$C$33,1,0)</f>
        <v>1</v>
      </c>
      <c r="I9" s="34" t="n">
        <f aca="false">IF(I5&gt;=Assumptions!$C$33,1,0)</f>
        <v>1</v>
      </c>
      <c r="J9" s="34" t="n">
        <f aca="false">IF(J5&gt;=Assumptions!$C$33,1,0)</f>
        <v>1</v>
      </c>
      <c r="K9" s="34" t="n">
        <f aca="false">IF(K5&gt;=Assumptions!$C$33,1,0)</f>
        <v>1</v>
      </c>
      <c r="L9" s="34" t="n">
        <f aca="false">IF(L5&gt;=Assumptions!$C$33,1,0)</f>
        <v>1</v>
      </c>
      <c r="M9" s="34" t="n">
        <f aca="false">IF(M5&gt;=Assumptions!$C$33,1,0)</f>
        <v>1</v>
      </c>
      <c r="N9" s="34" t="n">
        <f aca="false">IF(N5&gt;=Assumptions!$C$33,1,0)</f>
        <v>1</v>
      </c>
    </row>
    <row r="10" customFormat="false" ht="15" hidden="false" customHeight="false" outlineLevel="0" collapsed="false">
      <c r="B10" s="1" t="s">
        <v>81</v>
      </c>
      <c r="C10" s="34" t="n">
        <f aca="false">IF(C5&gt;=Assumptions!$C$34,1,0)</f>
        <v>0</v>
      </c>
      <c r="D10" s="34" t="n">
        <f aca="false">IF(D5&gt;=Assumptions!$C$34,1,0)</f>
        <v>0</v>
      </c>
      <c r="E10" s="34" t="n">
        <f aca="false">IF(E5&gt;=Assumptions!$C$34,1,0)</f>
        <v>0</v>
      </c>
      <c r="F10" s="34" t="n">
        <f aca="false">IF(F5&gt;=Assumptions!$C$34,1,0)</f>
        <v>0</v>
      </c>
      <c r="G10" s="34" t="n">
        <f aca="false">IF(G5&gt;=Assumptions!$C$34,1,0)</f>
        <v>1</v>
      </c>
      <c r="H10" s="34" t="n">
        <f aca="false">IF(H5&gt;=Assumptions!$C$34,1,0)</f>
        <v>1</v>
      </c>
      <c r="I10" s="34" t="n">
        <f aca="false">IF(I5&gt;=Assumptions!$C$34,1,0)</f>
        <v>1</v>
      </c>
      <c r="J10" s="34" t="n">
        <f aca="false">IF(J5&gt;=Assumptions!$C$34,1,0)</f>
        <v>1</v>
      </c>
      <c r="K10" s="34" t="n">
        <f aca="false">IF(K5&gt;=Assumptions!$C$34,1,0)</f>
        <v>1</v>
      </c>
      <c r="L10" s="34" t="n">
        <f aca="false">IF(L5&gt;=Assumptions!$C$34,1,0)</f>
        <v>1</v>
      </c>
      <c r="M10" s="34" t="n">
        <f aca="false">IF(M5&gt;=Assumptions!$C$34,1,0)</f>
        <v>1</v>
      </c>
      <c r="N10" s="34" t="n">
        <f aca="false">IF(N5&gt;=Assumptions!$C$34,1,0)</f>
        <v>1</v>
      </c>
    </row>
    <row r="11" customFormat="false" ht="15" hidden="false" customHeight="false" outlineLevel="0" collapsed="false">
      <c r="B11" s="1" t="s">
        <v>82</v>
      </c>
      <c r="C11" s="34" t="n">
        <f aca="false">IF(C5&gt;=Assumptions!$C$35,1,0)</f>
        <v>0</v>
      </c>
      <c r="D11" s="34" t="n">
        <f aca="false">IF(D5&gt;=Assumptions!$C$35,1,0)</f>
        <v>0</v>
      </c>
      <c r="E11" s="34" t="n">
        <f aca="false">IF(E5&gt;=Assumptions!$C$35,1,0)</f>
        <v>0</v>
      </c>
      <c r="F11" s="34" t="n">
        <f aca="false">IF(F5&gt;=Assumptions!$C$35,1,0)</f>
        <v>0</v>
      </c>
      <c r="G11" s="34" t="n">
        <f aca="false">IF(G5&gt;=Assumptions!$C$35,1,0)</f>
        <v>0</v>
      </c>
      <c r="H11" s="34" t="n">
        <f aca="false">IF(H5&gt;=Assumptions!$C$35,1,0)</f>
        <v>0</v>
      </c>
      <c r="I11" s="34" t="n">
        <f aca="false">IF(I5&gt;=Assumptions!$C$35,1,0)</f>
        <v>1</v>
      </c>
      <c r="J11" s="34" t="n">
        <f aca="false">IF(J5&gt;=Assumptions!$C$35,1,0)</f>
        <v>1</v>
      </c>
      <c r="K11" s="34" t="n">
        <f aca="false">IF(K5&gt;=Assumptions!$C$35,1,0)</f>
        <v>1</v>
      </c>
      <c r="L11" s="34" t="n">
        <f aca="false">IF(L5&gt;=Assumptions!$C$35,1,0)</f>
        <v>1</v>
      </c>
      <c r="M11" s="34" t="n">
        <f aca="false">IF(M5&gt;=Assumptions!$C$35,1,0)</f>
        <v>1</v>
      </c>
      <c r="N11" s="34" t="n">
        <f aca="false">IF(N5&gt;=Assumptions!$C$35,1,0)</f>
        <v>1</v>
      </c>
    </row>
    <row r="12" customFormat="false" ht="15" hidden="false" customHeight="false" outlineLevel="0" collapsed="false">
      <c r="B12" s="26" t="s">
        <v>126</v>
      </c>
      <c r="C12" s="35" t="n">
        <f aca="false">SUM(C8:C11)</f>
        <v>1</v>
      </c>
      <c r="D12" s="35" t="n">
        <f aca="false">SUM(D8:D11)</f>
        <v>1</v>
      </c>
      <c r="E12" s="35" t="n">
        <f aca="false">SUM(E8:E11)</f>
        <v>2</v>
      </c>
      <c r="F12" s="35" t="n">
        <f aca="false">SUM(F8:F11)</f>
        <v>2</v>
      </c>
      <c r="G12" s="35" t="n">
        <f aca="false">SUM(G8:G11)</f>
        <v>3</v>
      </c>
      <c r="H12" s="35" t="n">
        <f aca="false">SUM(H8:H11)</f>
        <v>3</v>
      </c>
      <c r="I12" s="35" t="n">
        <f aca="false">SUM(I8:I11)</f>
        <v>4</v>
      </c>
      <c r="J12" s="35" t="n">
        <f aca="false">SUM(J8:J11)</f>
        <v>4</v>
      </c>
      <c r="K12" s="35" t="n">
        <f aca="false">SUM(K8:K11)</f>
        <v>4</v>
      </c>
      <c r="L12" s="35" t="n">
        <f aca="false">SUM(L8:L11)</f>
        <v>4</v>
      </c>
      <c r="M12" s="35" t="n">
        <f aca="false">SUM(M8:M11)</f>
        <v>4</v>
      </c>
      <c r="N12" s="35" t="n">
        <f aca="false">SUM(N8:N11)</f>
        <v>4</v>
      </c>
    </row>
    <row r="14" customFormat="false" ht="15" hidden="false" customHeight="true" outlineLevel="0" collapsed="false">
      <c r="A14" s="4" t="s">
        <v>127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customFormat="false" ht="15" hidden="false" customHeight="false" outlineLevel="0" collapsed="false">
      <c r="B15" s="1" t="s">
        <v>128</v>
      </c>
      <c r="C15" s="25" t="n">
        <f aca="false">IF(C5&gt;=Assumptions!$C$32,1,0)*(Assumptions!$C$5 + (Assumptions!$C$10*Assumptions!$C$11*(IF((C5-Assumptions!$C$32+1)&lt;=0,0,IF((C5-Assumptions!$C$32+1)=1,Assumptions!$C$12,IF((C5-Assumptions!$C$32+1)=2,Assumptions!$C$13,Assumptions!$C$14)))))*Assumptions!$C$6)</f>
        <v>500.6</v>
      </c>
      <c r="D15" s="25" t="n">
        <f aca="false">IF(D5&gt;=Assumptions!$C$32,1,0)*(Assumptions!$C$5 + (Assumptions!$C$10*Assumptions!$C$11*(IF((D5-Assumptions!$C$32+1)&lt;=0,0,IF((D5-Assumptions!$C$32+1)=1,Assumptions!$C$12,IF((D5-Assumptions!$C$32+1)=2,Assumptions!$C$13,Assumptions!$C$14)))))*Assumptions!$C$6)</f>
        <v>735.8</v>
      </c>
      <c r="E15" s="25" t="n">
        <f aca="false">IF(E5&gt;=Assumptions!$C$32,1,0)*(Assumptions!$C$5 + (Assumptions!$C$10*Assumptions!$C$11*(IF((E5-Assumptions!$C$32+1)&lt;=0,0,IF((E5-Assumptions!$C$32+1)=1,Assumptions!$C$12,IF((E5-Assumptions!$C$32+1)=2,Assumptions!$C$13,Assumptions!$C$14)))))*Assumptions!$C$6)</f>
        <v>971</v>
      </c>
      <c r="F15" s="25" t="n">
        <f aca="false">IF(F5&gt;=Assumptions!$C$32,1,0)*(Assumptions!$C$5 + (Assumptions!$C$10*Assumptions!$C$11*(IF((F5-Assumptions!$C$32+1)&lt;=0,0,IF((F5-Assumptions!$C$32+1)=1,Assumptions!$C$12,IF((F5-Assumptions!$C$32+1)=2,Assumptions!$C$13,Assumptions!$C$14)))))*Assumptions!$C$6)</f>
        <v>971</v>
      </c>
      <c r="G15" s="25" t="n">
        <f aca="false">IF(G5&gt;=Assumptions!$C$32,1,0)*(Assumptions!$C$5 + (Assumptions!$C$10*Assumptions!$C$11*(IF((G5-Assumptions!$C$32+1)&lt;=0,0,IF((G5-Assumptions!$C$32+1)=1,Assumptions!$C$12,IF((G5-Assumptions!$C$32+1)=2,Assumptions!$C$13,Assumptions!$C$14)))))*Assumptions!$C$6)</f>
        <v>971</v>
      </c>
      <c r="H15" s="25" t="n">
        <f aca="false">IF(H5&gt;=Assumptions!$C$32,1,0)*(Assumptions!$C$5 + (Assumptions!$C$10*Assumptions!$C$11*(IF((H5-Assumptions!$C$32+1)&lt;=0,0,IF((H5-Assumptions!$C$32+1)=1,Assumptions!$C$12,IF((H5-Assumptions!$C$32+1)=2,Assumptions!$C$13,Assumptions!$C$14)))))*Assumptions!$C$6)</f>
        <v>971</v>
      </c>
      <c r="I15" s="25" t="n">
        <f aca="false">IF(I5&gt;=Assumptions!$C$32,1,0)*(Assumptions!$C$5 + (Assumptions!$C$10*Assumptions!$C$11*(IF((I5-Assumptions!$C$32+1)&lt;=0,0,IF((I5-Assumptions!$C$32+1)=1,Assumptions!$C$12,IF((I5-Assumptions!$C$32+1)=2,Assumptions!$C$13,Assumptions!$C$14)))))*Assumptions!$C$6)</f>
        <v>971</v>
      </c>
      <c r="J15" s="25" t="n">
        <f aca="false">IF(J5&gt;=Assumptions!$C$32,1,0)*(Assumptions!$C$5 + (Assumptions!$C$10*Assumptions!$C$11*(IF((J5-Assumptions!$C$32+1)&lt;=0,0,IF((J5-Assumptions!$C$32+1)=1,Assumptions!$C$12,IF((J5-Assumptions!$C$32+1)=2,Assumptions!$C$13,Assumptions!$C$14)))))*Assumptions!$C$6)</f>
        <v>971</v>
      </c>
      <c r="K15" s="25" t="n">
        <f aca="false">IF(K5&gt;=Assumptions!$C$32,1,0)*(Assumptions!$C$5 + (Assumptions!$C$10*Assumptions!$C$11*(IF((K5-Assumptions!$C$32+1)&lt;=0,0,IF((K5-Assumptions!$C$32+1)=1,Assumptions!$C$12,IF((K5-Assumptions!$C$32+1)=2,Assumptions!$C$13,Assumptions!$C$14)))))*Assumptions!$C$6)</f>
        <v>971</v>
      </c>
      <c r="L15" s="25" t="n">
        <f aca="false">IF(L5&gt;=Assumptions!$C$32,1,0)*(Assumptions!$C$5 + (Assumptions!$C$10*Assumptions!$C$11*(IF((L5-Assumptions!$C$32+1)&lt;=0,0,IF((L5-Assumptions!$C$32+1)=1,Assumptions!$C$12,IF((L5-Assumptions!$C$32+1)=2,Assumptions!$C$13,Assumptions!$C$14)))))*Assumptions!$C$6)</f>
        <v>971</v>
      </c>
      <c r="M15" s="25" t="n">
        <f aca="false">IF(M5&gt;=Assumptions!$C$32,1,0)*(Assumptions!$C$5 + (Assumptions!$C$10*Assumptions!$C$11*(IF((M5-Assumptions!$C$32+1)&lt;=0,0,IF((M5-Assumptions!$C$32+1)=1,Assumptions!$C$12,IF((M5-Assumptions!$C$32+1)=2,Assumptions!$C$13,Assumptions!$C$14)))))*Assumptions!$C$6)</f>
        <v>971</v>
      </c>
      <c r="N15" s="25" t="n">
        <f aca="false">IF(N5&gt;=Assumptions!$C$32,1,0)*(Assumptions!$C$5 + (Assumptions!$C$10*Assumptions!$C$11*(IF((N5-Assumptions!$C$32+1)&lt;=0,0,IF((N5-Assumptions!$C$32+1)=1,Assumptions!$C$12,IF((N5-Assumptions!$C$32+1)=2,Assumptions!$C$13,Assumptions!$C$14)))))*Assumptions!$C$6)</f>
        <v>971</v>
      </c>
    </row>
    <row r="16" customFormat="false" ht="15" hidden="false" customHeight="false" outlineLevel="0" collapsed="false">
      <c r="B16" s="1" t="s">
        <v>129</v>
      </c>
      <c r="C16" s="25" t="n">
        <f aca="false">IF(C5&gt;=Assumptions!$C$33,1,0)*(Assumptions!$C$5 + (Assumptions!$C$10*Assumptions!$C$11*(IF((C5-Assumptions!$C$33+1)&lt;=0,0,IF((C5-Assumptions!$C$33+1)=1,Assumptions!$C$12,IF((C5-Assumptions!$C$33+1)=2,Assumptions!$C$13,Assumptions!$C$14)))))*Assumptions!$C$6)</f>
        <v>0</v>
      </c>
      <c r="D16" s="25" t="n">
        <f aca="false">IF(D5&gt;=Assumptions!$C$33,1,0)*(Assumptions!$C$5 + (Assumptions!$C$10*Assumptions!$C$11*(IF((D5-Assumptions!$C$33+1)&lt;=0,0,IF((D5-Assumptions!$C$33+1)=1,Assumptions!$C$12,IF((D5-Assumptions!$C$33+1)=2,Assumptions!$C$13,Assumptions!$C$14)))))*Assumptions!$C$6)</f>
        <v>0</v>
      </c>
      <c r="E16" s="25" t="n">
        <f aca="false">IF(E5&gt;=Assumptions!$C$33,1,0)*(Assumptions!$C$5 + (Assumptions!$C$10*Assumptions!$C$11*(IF((E5-Assumptions!$C$33+1)&lt;=0,0,IF((E5-Assumptions!$C$33+1)=1,Assumptions!$C$12,IF((E5-Assumptions!$C$33+1)=2,Assumptions!$C$13,Assumptions!$C$14)))))*Assumptions!$C$6)</f>
        <v>500.6</v>
      </c>
      <c r="F16" s="25" t="n">
        <f aca="false">IF(F5&gt;=Assumptions!$C$33,1,0)*(Assumptions!$C$5 + (Assumptions!$C$10*Assumptions!$C$11*(IF((F5-Assumptions!$C$33+1)&lt;=0,0,IF((F5-Assumptions!$C$33+1)=1,Assumptions!$C$12,IF((F5-Assumptions!$C$33+1)=2,Assumptions!$C$13,Assumptions!$C$14)))))*Assumptions!$C$6)</f>
        <v>735.8</v>
      </c>
      <c r="G16" s="25" t="n">
        <f aca="false">IF(G5&gt;=Assumptions!$C$33,1,0)*(Assumptions!$C$5 + (Assumptions!$C$10*Assumptions!$C$11*(IF((G5-Assumptions!$C$33+1)&lt;=0,0,IF((G5-Assumptions!$C$33+1)=1,Assumptions!$C$12,IF((G5-Assumptions!$C$33+1)=2,Assumptions!$C$13,Assumptions!$C$14)))))*Assumptions!$C$6)</f>
        <v>971</v>
      </c>
      <c r="H16" s="25" t="n">
        <f aca="false">IF(H5&gt;=Assumptions!$C$33,1,0)*(Assumptions!$C$5 + (Assumptions!$C$10*Assumptions!$C$11*(IF((H5-Assumptions!$C$33+1)&lt;=0,0,IF((H5-Assumptions!$C$33+1)=1,Assumptions!$C$12,IF((H5-Assumptions!$C$33+1)=2,Assumptions!$C$13,Assumptions!$C$14)))))*Assumptions!$C$6)</f>
        <v>971</v>
      </c>
      <c r="I16" s="25" t="n">
        <f aca="false">IF(I5&gt;=Assumptions!$C$33,1,0)*(Assumptions!$C$5 + (Assumptions!$C$10*Assumptions!$C$11*(IF((I5-Assumptions!$C$33+1)&lt;=0,0,IF((I5-Assumptions!$C$33+1)=1,Assumptions!$C$12,IF((I5-Assumptions!$C$33+1)=2,Assumptions!$C$13,Assumptions!$C$14)))))*Assumptions!$C$6)</f>
        <v>971</v>
      </c>
      <c r="J16" s="25" t="n">
        <f aca="false">IF(J5&gt;=Assumptions!$C$33,1,0)*(Assumptions!$C$5 + (Assumptions!$C$10*Assumptions!$C$11*(IF((J5-Assumptions!$C$33+1)&lt;=0,0,IF((J5-Assumptions!$C$33+1)=1,Assumptions!$C$12,IF((J5-Assumptions!$C$33+1)=2,Assumptions!$C$13,Assumptions!$C$14)))))*Assumptions!$C$6)</f>
        <v>971</v>
      </c>
      <c r="K16" s="25" t="n">
        <f aca="false">IF(K5&gt;=Assumptions!$C$33,1,0)*(Assumptions!$C$5 + (Assumptions!$C$10*Assumptions!$C$11*(IF((K5-Assumptions!$C$33+1)&lt;=0,0,IF((K5-Assumptions!$C$33+1)=1,Assumptions!$C$12,IF((K5-Assumptions!$C$33+1)=2,Assumptions!$C$13,Assumptions!$C$14)))))*Assumptions!$C$6)</f>
        <v>971</v>
      </c>
      <c r="L16" s="25" t="n">
        <f aca="false">IF(L5&gt;=Assumptions!$C$33,1,0)*(Assumptions!$C$5 + (Assumptions!$C$10*Assumptions!$C$11*(IF((L5-Assumptions!$C$33+1)&lt;=0,0,IF((L5-Assumptions!$C$33+1)=1,Assumptions!$C$12,IF((L5-Assumptions!$C$33+1)=2,Assumptions!$C$13,Assumptions!$C$14)))))*Assumptions!$C$6)</f>
        <v>971</v>
      </c>
      <c r="M16" s="25" t="n">
        <f aca="false">IF(M5&gt;=Assumptions!$C$33,1,0)*(Assumptions!$C$5 + (Assumptions!$C$10*Assumptions!$C$11*(IF((M5-Assumptions!$C$33+1)&lt;=0,0,IF((M5-Assumptions!$C$33+1)=1,Assumptions!$C$12,IF((M5-Assumptions!$C$33+1)=2,Assumptions!$C$13,Assumptions!$C$14)))))*Assumptions!$C$6)</f>
        <v>971</v>
      </c>
      <c r="N16" s="25" t="n">
        <f aca="false">IF(N5&gt;=Assumptions!$C$33,1,0)*(Assumptions!$C$5 + (Assumptions!$C$10*Assumptions!$C$11*(IF((N5-Assumptions!$C$33+1)&lt;=0,0,IF((N5-Assumptions!$C$33+1)=1,Assumptions!$C$12,IF((N5-Assumptions!$C$33+1)=2,Assumptions!$C$13,Assumptions!$C$14)))))*Assumptions!$C$6)</f>
        <v>971</v>
      </c>
    </row>
    <row r="17" customFormat="false" ht="15" hidden="false" customHeight="false" outlineLevel="0" collapsed="false">
      <c r="B17" s="1" t="s">
        <v>130</v>
      </c>
      <c r="C17" s="25" t="n">
        <f aca="false">IF(C5&gt;=Assumptions!$C$34,1,0)*(Assumptions!$C$5 + (Assumptions!$C$10*Assumptions!$C$11*(IF((C5-Assumptions!$C$34+1)&lt;=0,0,IF((C5-Assumptions!$C$34+1)=1,Assumptions!$C$12,IF((C5-Assumptions!$C$34+1)=2,Assumptions!$C$13,Assumptions!$C$14)))))*Assumptions!$C$6)</f>
        <v>0</v>
      </c>
      <c r="D17" s="25" t="n">
        <f aca="false">IF(D5&gt;=Assumptions!$C$34,1,0)*(Assumptions!$C$5 + (Assumptions!$C$10*Assumptions!$C$11*(IF((D5-Assumptions!$C$34+1)&lt;=0,0,IF((D5-Assumptions!$C$34+1)=1,Assumptions!$C$12,IF((D5-Assumptions!$C$34+1)=2,Assumptions!$C$13,Assumptions!$C$14)))))*Assumptions!$C$6)</f>
        <v>0</v>
      </c>
      <c r="E17" s="25" t="n">
        <f aca="false">IF(E5&gt;=Assumptions!$C$34,1,0)*(Assumptions!$C$5 + (Assumptions!$C$10*Assumptions!$C$11*(IF((E5-Assumptions!$C$34+1)&lt;=0,0,IF((E5-Assumptions!$C$34+1)=1,Assumptions!$C$12,IF((E5-Assumptions!$C$34+1)=2,Assumptions!$C$13,Assumptions!$C$14)))))*Assumptions!$C$6)</f>
        <v>0</v>
      </c>
      <c r="F17" s="25" t="n">
        <f aca="false">IF(F5&gt;=Assumptions!$C$34,1,0)*(Assumptions!$C$5 + (Assumptions!$C$10*Assumptions!$C$11*(IF((F5-Assumptions!$C$34+1)&lt;=0,0,IF((F5-Assumptions!$C$34+1)=1,Assumptions!$C$12,IF((F5-Assumptions!$C$34+1)=2,Assumptions!$C$13,Assumptions!$C$14)))))*Assumptions!$C$6)</f>
        <v>0</v>
      </c>
      <c r="G17" s="25" t="n">
        <f aca="false">IF(G5&gt;=Assumptions!$C$34,1,0)*(Assumptions!$C$5 + (Assumptions!$C$10*Assumptions!$C$11*(IF((G5-Assumptions!$C$34+1)&lt;=0,0,IF((G5-Assumptions!$C$34+1)=1,Assumptions!$C$12,IF((G5-Assumptions!$C$34+1)=2,Assumptions!$C$13,Assumptions!$C$14)))))*Assumptions!$C$6)</f>
        <v>500.6</v>
      </c>
      <c r="H17" s="25" t="n">
        <f aca="false">IF(H5&gt;=Assumptions!$C$34,1,0)*(Assumptions!$C$5 + (Assumptions!$C$10*Assumptions!$C$11*(IF((H5-Assumptions!$C$34+1)&lt;=0,0,IF((H5-Assumptions!$C$34+1)=1,Assumptions!$C$12,IF((H5-Assumptions!$C$34+1)=2,Assumptions!$C$13,Assumptions!$C$14)))))*Assumptions!$C$6)</f>
        <v>735.8</v>
      </c>
      <c r="I17" s="25" t="n">
        <f aca="false">IF(I5&gt;=Assumptions!$C$34,1,0)*(Assumptions!$C$5 + (Assumptions!$C$10*Assumptions!$C$11*(IF((I5-Assumptions!$C$34+1)&lt;=0,0,IF((I5-Assumptions!$C$34+1)=1,Assumptions!$C$12,IF((I5-Assumptions!$C$34+1)=2,Assumptions!$C$13,Assumptions!$C$14)))))*Assumptions!$C$6)</f>
        <v>971</v>
      </c>
      <c r="J17" s="25" t="n">
        <f aca="false">IF(J5&gt;=Assumptions!$C$34,1,0)*(Assumptions!$C$5 + (Assumptions!$C$10*Assumptions!$C$11*(IF((J5-Assumptions!$C$34+1)&lt;=0,0,IF((J5-Assumptions!$C$34+1)=1,Assumptions!$C$12,IF((J5-Assumptions!$C$34+1)=2,Assumptions!$C$13,Assumptions!$C$14)))))*Assumptions!$C$6)</f>
        <v>971</v>
      </c>
      <c r="K17" s="25" t="n">
        <f aca="false">IF(K5&gt;=Assumptions!$C$34,1,0)*(Assumptions!$C$5 + (Assumptions!$C$10*Assumptions!$C$11*(IF((K5-Assumptions!$C$34+1)&lt;=0,0,IF((K5-Assumptions!$C$34+1)=1,Assumptions!$C$12,IF((K5-Assumptions!$C$34+1)=2,Assumptions!$C$13,Assumptions!$C$14)))))*Assumptions!$C$6)</f>
        <v>971</v>
      </c>
      <c r="L17" s="25" t="n">
        <f aca="false">IF(L5&gt;=Assumptions!$C$34,1,0)*(Assumptions!$C$5 + (Assumptions!$C$10*Assumptions!$C$11*(IF((L5-Assumptions!$C$34+1)&lt;=0,0,IF((L5-Assumptions!$C$34+1)=1,Assumptions!$C$12,IF((L5-Assumptions!$C$34+1)=2,Assumptions!$C$13,Assumptions!$C$14)))))*Assumptions!$C$6)</f>
        <v>971</v>
      </c>
      <c r="M17" s="25" t="n">
        <f aca="false">IF(M5&gt;=Assumptions!$C$34,1,0)*(Assumptions!$C$5 + (Assumptions!$C$10*Assumptions!$C$11*(IF((M5-Assumptions!$C$34+1)&lt;=0,0,IF((M5-Assumptions!$C$34+1)=1,Assumptions!$C$12,IF((M5-Assumptions!$C$34+1)=2,Assumptions!$C$13,Assumptions!$C$14)))))*Assumptions!$C$6)</f>
        <v>971</v>
      </c>
      <c r="N17" s="25" t="n">
        <f aca="false">IF(N5&gt;=Assumptions!$C$34,1,0)*(Assumptions!$C$5 + (Assumptions!$C$10*Assumptions!$C$11*(IF((N5-Assumptions!$C$34+1)&lt;=0,0,IF((N5-Assumptions!$C$34+1)=1,Assumptions!$C$12,IF((N5-Assumptions!$C$34+1)=2,Assumptions!$C$13,Assumptions!$C$14)))))*Assumptions!$C$6)</f>
        <v>971</v>
      </c>
    </row>
    <row r="18" customFormat="false" ht="15" hidden="false" customHeight="false" outlineLevel="0" collapsed="false">
      <c r="B18" s="1" t="s">
        <v>131</v>
      </c>
      <c r="C18" s="25" t="n">
        <f aca="false">IF(C5&gt;=Assumptions!$C$35,1,0)*(Assumptions!$C$5 + (Assumptions!$C$10*Assumptions!$C$11*(IF((C5-Assumptions!$C$35+1)&lt;=0,0,IF((C5-Assumptions!$C$35+1)=1,Assumptions!$C$12,IF((C5-Assumptions!$C$35+1)=2,Assumptions!$C$13,Assumptions!$C$14)))))*Assumptions!$C$6)</f>
        <v>0</v>
      </c>
      <c r="D18" s="25" t="n">
        <f aca="false">IF(D5&gt;=Assumptions!$C$35,1,0)*(Assumptions!$C$5 + (Assumptions!$C$10*Assumptions!$C$11*(IF((D5-Assumptions!$C$35+1)&lt;=0,0,IF((D5-Assumptions!$C$35+1)=1,Assumptions!$C$12,IF((D5-Assumptions!$C$35+1)=2,Assumptions!$C$13,Assumptions!$C$14)))))*Assumptions!$C$6)</f>
        <v>0</v>
      </c>
      <c r="E18" s="25" t="n">
        <f aca="false">IF(E5&gt;=Assumptions!$C$35,1,0)*(Assumptions!$C$5 + (Assumptions!$C$10*Assumptions!$C$11*(IF((E5-Assumptions!$C$35+1)&lt;=0,0,IF((E5-Assumptions!$C$35+1)=1,Assumptions!$C$12,IF((E5-Assumptions!$C$35+1)=2,Assumptions!$C$13,Assumptions!$C$14)))))*Assumptions!$C$6)</f>
        <v>0</v>
      </c>
      <c r="F18" s="25" t="n">
        <f aca="false">IF(F5&gt;=Assumptions!$C$35,1,0)*(Assumptions!$C$5 + (Assumptions!$C$10*Assumptions!$C$11*(IF((F5-Assumptions!$C$35+1)&lt;=0,0,IF((F5-Assumptions!$C$35+1)=1,Assumptions!$C$12,IF((F5-Assumptions!$C$35+1)=2,Assumptions!$C$13,Assumptions!$C$14)))))*Assumptions!$C$6)</f>
        <v>0</v>
      </c>
      <c r="G18" s="25" t="n">
        <f aca="false">IF(G5&gt;=Assumptions!$C$35,1,0)*(Assumptions!$C$5 + (Assumptions!$C$10*Assumptions!$C$11*(IF((G5-Assumptions!$C$35+1)&lt;=0,0,IF((G5-Assumptions!$C$35+1)=1,Assumptions!$C$12,IF((G5-Assumptions!$C$35+1)=2,Assumptions!$C$13,Assumptions!$C$14)))))*Assumptions!$C$6)</f>
        <v>0</v>
      </c>
      <c r="H18" s="25" t="n">
        <f aca="false">IF(H5&gt;=Assumptions!$C$35,1,0)*(Assumptions!$C$5 + (Assumptions!$C$10*Assumptions!$C$11*(IF((H5-Assumptions!$C$35+1)&lt;=0,0,IF((H5-Assumptions!$C$35+1)=1,Assumptions!$C$12,IF((H5-Assumptions!$C$35+1)=2,Assumptions!$C$13,Assumptions!$C$14)))))*Assumptions!$C$6)</f>
        <v>0</v>
      </c>
      <c r="I18" s="25" t="n">
        <f aca="false">IF(I5&gt;=Assumptions!$C$35,1,0)*(Assumptions!$C$5 + (Assumptions!$C$10*Assumptions!$C$11*(IF((I5-Assumptions!$C$35+1)&lt;=0,0,IF((I5-Assumptions!$C$35+1)=1,Assumptions!$C$12,IF((I5-Assumptions!$C$35+1)=2,Assumptions!$C$13,Assumptions!$C$14)))))*Assumptions!$C$6)</f>
        <v>500.6</v>
      </c>
      <c r="J18" s="25" t="n">
        <f aca="false">IF(J5&gt;=Assumptions!$C$35,1,0)*(Assumptions!$C$5 + (Assumptions!$C$10*Assumptions!$C$11*(IF((J5-Assumptions!$C$35+1)&lt;=0,0,IF((J5-Assumptions!$C$35+1)=1,Assumptions!$C$12,IF((J5-Assumptions!$C$35+1)=2,Assumptions!$C$13,Assumptions!$C$14)))))*Assumptions!$C$6)</f>
        <v>735.8</v>
      </c>
      <c r="K18" s="25" t="n">
        <f aca="false">IF(K5&gt;=Assumptions!$C$35,1,0)*(Assumptions!$C$5 + (Assumptions!$C$10*Assumptions!$C$11*(IF((K5-Assumptions!$C$35+1)&lt;=0,0,IF((K5-Assumptions!$C$35+1)=1,Assumptions!$C$12,IF((K5-Assumptions!$C$35+1)=2,Assumptions!$C$13,Assumptions!$C$14)))))*Assumptions!$C$6)</f>
        <v>971</v>
      </c>
      <c r="L18" s="25" t="n">
        <f aca="false">IF(L5&gt;=Assumptions!$C$35,1,0)*(Assumptions!$C$5 + (Assumptions!$C$10*Assumptions!$C$11*(IF((L5-Assumptions!$C$35+1)&lt;=0,0,IF((L5-Assumptions!$C$35+1)=1,Assumptions!$C$12,IF((L5-Assumptions!$C$35+1)=2,Assumptions!$C$13,Assumptions!$C$14)))))*Assumptions!$C$6)</f>
        <v>971</v>
      </c>
      <c r="M18" s="25" t="n">
        <f aca="false">IF(M5&gt;=Assumptions!$C$35,1,0)*(Assumptions!$C$5 + (Assumptions!$C$10*Assumptions!$C$11*(IF((M5-Assumptions!$C$35+1)&lt;=0,0,IF((M5-Assumptions!$C$35+1)=1,Assumptions!$C$12,IF((M5-Assumptions!$C$35+1)=2,Assumptions!$C$13,Assumptions!$C$14)))))*Assumptions!$C$6)</f>
        <v>971</v>
      </c>
      <c r="N18" s="25" t="n">
        <f aca="false">IF(N5&gt;=Assumptions!$C$35,1,0)*(Assumptions!$C$5 + (Assumptions!$C$10*Assumptions!$C$11*(IF((N5-Assumptions!$C$35+1)&lt;=0,0,IF((N5-Assumptions!$C$35+1)=1,Assumptions!$C$12,IF((N5-Assumptions!$C$35+1)=2,Assumptions!$C$13,Assumptions!$C$14)))))*Assumptions!$C$6)</f>
        <v>971</v>
      </c>
    </row>
    <row r="19" customFormat="false" ht="15" hidden="false" customHeight="false" outlineLevel="0" collapsed="false">
      <c r="B19" s="26" t="s">
        <v>95</v>
      </c>
      <c r="C19" s="28" t="n">
        <f aca="false">SUM(C15:C18)</f>
        <v>500.6</v>
      </c>
      <c r="D19" s="28" t="n">
        <f aca="false">SUM(D15:D18)</f>
        <v>735.8</v>
      </c>
      <c r="E19" s="28" t="n">
        <f aca="false">SUM(E15:E18)</f>
        <v>1471.6</v>
      </c>
      <c r="F19" s="28" t="n">
        <f aca="false">SUM(F15:F18)</f>
        <v>1706.8</v>
      </c>
      <c r="G19" s="28" t="n">
        <f aca="false">SUM(G15:G18)</f>
        <v>2442.6</v>
      </c>
      <c r="H19" s="28" t="n">
        <f aca="false">SUM(H15:H18)</f>
        <v>2677.8</v>
      </c>
      <c r="I19" s="28" t="n">
        <f aca="false">SUM(I15:I18)</f>
        <v>3413.6</v>
      </c>
      <c r="J19" s="28" t="n">
        <f aca="false">SUM(J15:J18)</f>
        <v>3648.8</v>
      </c>
      <c r="K19" s="28" t="n">
        <f aca="false">SUM(K15:K18)</f>
        <v>3884</v>
      </c>
      <c r="L19" s="28" t="n">
        <f aca="false">SUM(L15:L18)</f>
        <v>3884</v>
      </c>
      <c r="M19" s="28" t="n">
        <f aca="false">SUM(M15:M18)</f>
        <v>3884</v>
      </c>
      <c r="N19" s="28" t="n">
        <f aca="false">SUM(N15:N18)</f>
        <v>3884</v>
      </c>
      <c r="O19" s="28" t="n">
        <f aca="false">SUM(C19:N19)</f>
        <v>32133.6</v>
      </c>
    </row>
    <row r="21" customFormat="false" ht="15" hidden="false" customHeight="true" outlineLevel="0" collapsed="false">
      <c r="A21" s="4" t="s">
        <v>132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customFormat="false" ht="15" hidden="false" customHeight="false" outlineLevel="0" collapsed="false">
      <c r="B22" s="1" t="s">
        <v>133</v>
      </c>
      <c r="C22" s="25" t="n">
        <f aca="false">(Assumptions!$C$17+Assumptions!$C$18+Assumptions!$C$20)*C12+Assumptions!$C$19*C19</f>
        <v>419.5174</v>
      </c>
      <c r="D22" s="25" t="n">
        <f aca="false">(Assumptions!$C$17+Assumptions!$C$18+Assumptions!$C$20)*D12+Assumptions!$C$19*D19</f>
        <v>426.3382</v>
      </c>
      <c r="E22" s="25" t="n">
        <f aca="false">(Assumptions!$C$17+Assumptions!$C$18+Assumptions!$C$20)*E12+Assumptions!$C$19*E19</f>
        <v>852.6764</v>
      </c>
      <c r="F22" s="25" t="n">
        <f aca="false">(Assumptions!$C$17+Assumptions!$C$18+Assumptions!$C$20)*F12+Assumptions!$C$19*F19</f>
        <v>859.4972</v>
      </c>
      <c r="G22" s="25" t="n">
        <f aca="false">(Assumptions!$C$17+Assumptions!$C$18+Assumptions!$C$20)*G12+Assumptions!$C$19*G19</f>
        <v>1285.8354</v>
      </c>
      <c r="H22" s="25" t="n">
        <f aca="false">(Assumptions!$C$17+Assumptions!$C$18+Assumptions!$C$20)*H12+Assumptions!$C$19*H19</f>
        <v>1292.6562</v>
      </c>
      <c r="I22" s="25" t="n">
        <f aca="false">(Assumptions!$C$17+Assumptions!$C$18+Assumptions!$C$20)*I12+Assumptions!$C$19*I19</f>
        <v>1718.9944</v>
      </c>
      <c r="J22" s="25" t="n">
        <f aca="false">(Assumptions!$C$17+Assumptions!$C$18+Assumptions!$C$20)*J12+Assumptions!$C$19*J19</f>
        <v>1725.8152</v>
      </c>
      <c r="K22" s="25" t="n">
        <f aca="false">(Assumptions!$C$17+Assumptions!$C$18+Assumptions!$C$20)*K12+Assumptions!$C$19*K19</f>
        <v>1732.636</v>
      </c>
      <c r="L22" s="25" t="n">
        <f aca="false">(Assumptions!$C$17+Assumptions!$C$18+Assumptions!$C$20)*L12+Assumptions!$C$19*L19</f>
        <v>1732.636</v>
      </c>
      <c r="M22" s="25" t="n">
        <f aca="false">(Assumptions!$C$17+Assumptions!$C$18+Assumptions!$C$20)*M12+Assumptions!$C$19*M19</f>
        <v>1732.636</v>
      </c>
      <c r="N22" s="25" t="n">
        <f aca="false">(Assumptions!$C$17+Assumptions!$C$18+Assumptions!$C$20)*N12+Assumptions!$C$19*N19</f>
        <v>1732.636</v>
      </c>
      <c r="O22" s="25" t="n">
        <f aca="false">SUM(C22:N22)</f>
        <v>15511.8744</v>
      </c>
    </row>
    <row r="23" customFormat="false" ht="15" hidden="false" customHeight="false" outlineLevel="0" collapsed="false">
      <c r="B23" s="1" t="s">
        <v>134</v>
      </c>
      <c r="C23" s="24" t="n">
        <f aca="false">Assumptions!$C$29</f>
        <v>950</v>
      </c>
      <c r="D23" s="24" t="n">
        <f aca="false">Assumptions!$C$29</f>
        <v>950</v>
      </c>
      <c r="E23" s="24" t="n">
        <f aca="false">Assumptions!$C$29</f>
        <v>950</v>
      </c>
      <c r="F23" s="24" t="n">
        <f aca="false">Assumptions!$C$29</f>
        <v>950</v>
      </c>
      <c r="G23" s="24" t="n">
        <f aca="false">Assumptions!$C$29</f>
        <v>950</v>
      </c>
      <c r="H23" s="24" t="n">
        <f aca="false">Assumptions!$C$29</f>
        <v>950</v>
      </c>
      <c r="I23" s="24" t="n">
        <f aca="false">Assumptions!$C$29</f>
        <v>950</v>
      </c>
      <c r="J23" s="24" t="n">
        <f aca="false">Assumptions!$C$29</f>
        <v>950</v>
      </c>
      <c r="K23" s="24" t="n">
        <f aca="false">Assumptions!$C$29</f>
        <v>950</v>
      </c>
      <c r="L23" s="24" t="n">
        <f aca="false">Assumptions!$C$29</f>
        <v>950</v>
      </c>
      <c r="M23" s="24" t="n">
        <f aca="false">Assumptions!$C$29</f>
        <v>950</v>
      </c>
      <c r="N23" s="24" t="n">
        <f aca="false">Assumptions!$C$29</f>
        <v>950</v>
      </c>
      <c r="O23" s="25" t="n">
        <f aca="false">SUM(C23:N23)</f>
        <v>11400</v>
      </c>
    </row>
    <row r="24" customFormat="false" ht="15" hidden="false" customHeight="false" outlineLevel="0" collapsed="false">
      <c r="B24" s="26" t="s">
        <v>135</v>
      </c>
      <c r="C24" s="27" t="n">
        <f aca="false">C22+C23</f>
        <v>1369.5174</v>
      </c>
      <c r="D24" s="27" t="n">
        <f aca="false">D22+D23</f>
        <v>1376.3382</v>
      </c>
      <c r="E24" s="27" t="n">
        <f aca="false">E22+E23</f>
        <v>1802.6764</v>
      </c>
      <c r="F24" s="27" t="n">
        <f aca="false">F22+F23</f>
        <v>1809.4972</v>
      </c>
      <c r="G24" s="27" t="n">
        <f aca="false">G22+G23</f>
        <v>2235.8354</v>
      </c>
      <c r="H24" s="27" t="n">
        <f aca="false">H22+H23</f>
        <v>2242.6562</v>
      </c>
      <c r="I24" s="27" t="n">
        <f aca="false">I22+I23</f>
        <v>2668.9944</v>
      </c>
      <c r="J24" s="27" t="n">
        <f aca="false">J22+J23</f>
        <v>2675.8152</v>
      </c>
      <c r="K24" s="27" t="n">
        <f aca="false">K22+K23</f>
        <v>2682.636</v>
      </c>
      <c r="L24" s="27" t="n">
        <f aca="false">L22+L23</f>
        <v>2682.636</v>
      </c>
      <c r="M24" s="27" t="n">
        <f aca="false">M22+M23</f>
        <v>2682.636</v>
      </c>
      <c r="N24" s="27" t="n">
        <f aca="false">N22+N23</f>
        <v>2682.636</v>
      </c>
      <c r="O24" s="27" t="n">
        <f aca="false">SUM(C24:N24)</f>
        <v>26911.8744</v>
      </c>
    </row>
    <row r="26" customFormat="false" ht="15" hidden="false" customHeight="true" outlineLevel="0" collapsed="false">
      <c r="A26" s="4" t="s">
        <v>136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customFormat="false" ht="15" hidden="false" customHeight="false" outlineLevel="0" collapsed="false">
      <c r="B27" s="26" t="s">
        <v>137</v>
      </c>
      <c r="C27" s="36" t="n">
        <f aca="false">C19-C24</f>
        <v>-868.9174</v>
      </c>
      <c r="D27" s="36" t="n">
        <f aca="false">D19-D24</f>
        <v>-640.5382</v>
      </c>
      <c r="E27" s="36" t="n">
        <f aca="false">E19-E24</f>
        <v>-331.0764</v>
      </c>
      <c r="F27" s="36" t="n">
        <f aca="false">F19-F24</f>
        <v>-102.6972</v>
      </c>
      <c r="G27" s="36" t="n">
        <f aca="false">G19-G24</f>
        <v>206.7646</v>
      </c>
      <c r="H27" s="36" t="n">
        <f aca="false">H19-H24</f>
        <v>435.1438</v>
      </c>
      <c r="I27" s="36" t="n">
        <f aca="false">I19-I24</f>
        <v>744.6056</v>
      </c>
      <c r="J27" s="36" t="n">
        <f aca="false">J19-J24</f>
        <v>972.9848</v>
      </c>
      <c r="K27" s="36" t="n">
        <f aca="false">K19-K24</f>
        <v>1201.364</v>
      </c>
      <c r="L27" s="36" t="n">
        <f aca="false">L19-L24</f>
        <v>1201.364</v>
      </c>
      <c r="M27" s="36" t="n">
        <f aca="false">M19-M24</f>
        <v>1201.364</v>
      </c>
      <c r="N27" s="36" t="n">
        <f aca="false">N19-N24</f>
        <v>1201.364</v>
      </c>
      <c r="O27" s="36" t="n">
        <f aca="false">SUM(C27:N27)</f>
        <v>5221.7256</v>
      </c>
    </row>
    <row r="28" customFormat="false" ht="15" hidden="false" customHeight="false" outlineLevel="0" collapsed="false">
      <c r="B28" s="26" t="s">
        <v>138</v>
      </c>
      <c r="C28" s="36" t="n">
        <f aca="false">C27</f>
        <v>-868.9174</v>
      </c>
      <c r="D28" s="36" t="n">
        <f aca="false">C28+D27</f>
        <v>-1509.4556</v>
      </c>
      <c r="E28" s="36" t="n">
        <f aca="false">D28+E27</f>
        <v>-1840.532</v>
      </c>
      <c r="F28" s="36" t="n">
        <f aca="false">E28+F27</f>
        <v>-1943.2292</v>
      </c>
      <c r="G28" s="36" t="n">
        <f aca="false">F28+G27</f>
        <v>-1736.4646</v>
      </c>
      <c r="H28" s="36" t="n">
        <f aca="false">G28+H27</f>
        <v>-1301.3208</v>
      </c>
      <c r="I28" s="36" t="n">
        <f aca="false">H28+I27</f>
        <v>-556.7152</v>
      </c>
      <c r="J28" s="36" t="n">
        <f aca="false">I28+J27</f>
        <v>416.2696</v>
      </c>
      <c r="K28" s="36" t="n">
        <f aca="false">J28+K27</f>
        <v>1617.6336</v>
      </c>
      <c r="L28" s="36" t="n">
        <f aca="false">K28+L27</f>
        <v>2818.9976</v>
      </c>
      <c r="M28" s="36" t="n">
        <f aca="false">L28+M27</f>
        <v>4020.3616</v>
      </c>
      <c r="N28" s="36" t="n">
        <f aca="false">M28+N27</f>
        <v>5221.7256</v>
      </c>
      <c r="O28" s="28" t="n">
        <f aca="false">N28</f>
        <v>5221.7256</v>
      </c>
    </row>
    <row r="31" customFormat="false" ht="15" hidden="false" customHeight="true" outlineLevel="0" collapsed="false">
      <c r="A31" s="4" t="s">
        <v>139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customFormat="false" ht="15" hidden="false" customHeight="false" outlineLevel="0" collapsed="false">
      <c r="B32" s="26" t="s">
        <v>140</v>
      </c>
      <c r="C32" s="37" t="n">
        <f aca="false">O19</f>
        <v>32133.6</v>
      </c>
      <c r="D32" s="37"/>
    </row>
    <row r="33" customFormat="false" ht="15" hidden="false" customHeight="false" outlineLevel="0" collapsed="false">
      <c r="B33" s="26" t="s">
        <v>141</v>
      </c>
      <c r="C33" s="37" t="n">
        <f aca="false">O24</f>
        <v>26911.8744</v>
      </c>
      <c r="D33" s="37"/>
    </row>
    <row r="34" customFormat="false" ht="15" hidden="false" customHeight="false" outlineLevel="0" collapsed="false">
      <c r="B34" s="26" t="s">
        <v>142</v>
      </c>
      <c r="C34" s="37" t="n">
        <f aca="false">O27</f>
        <v>5221.7256</v>
      </c>
      <c r="D34" s="37"/>
    </row>
    <row r="35" customFormat="false" ht="15" hidden="false" customHeight="false" outlineLevel="0" collapsed="false">
      <c r="B35" s="26" t="s">
        <v>143</v>
      </c>
      <c r="C35" s="38" t="n">
        <f aca="false">IFERROR((O19-O22)/O19,0)</f>
        <v>0.517269325565763</v>
      </c>
      <c r="D35" s="38"/>
    </row>
    <row r="36" customFormat="false" ht="15" hidden="false" customHeight="false" outlineLevel="0" collapsed="false">
      <c r="B36" s="26" t="s">
        <v>144</v>
      </c>
      <c r="C36" s="37" t="n">
        <f aca="false">N19</f>
        <v>3884</v>
      </c>
      <c r="D36" s="37"/>
    </row>
    <row r="37" customFormat="false" ht="15" hidden="false" customHeight="false" outlineLevel="0" collapsed="false">
      <c r="B37" s="26" t="s">
        <v>145</v>
      </c>
      <c r="C37" s="37" t="n">
        <f aca="false">N19*12</f>
        <v>46608</v>
      </c>
      <c r="D37" s="37"/>
    </row>
  </sheetData>
  <mergeCells count="13">
    <mergeCell ref="A1:O1"/>
    <mergeCell ref="A2:O2"/>
    <mergeCell ref="A7:O7"/>
    <mergeCell ref="A14:O14"/>
    <mergeCell ref="A21:O21"/>
    <mergeCell ref="A26:O26"/>
    <mergeCell ref="A31:O31"/>
    <mergeCell ref="C32:D32"/>
    <mergeCell ref="C33:D33"/>
    <mergeCell ref="C34:D34"/>
    <mergeCell ref="C35:D35"/>
    <mergeCell ref="C36:D36"/>
    <mergeCell ref="C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8" min="3" style="1" width="14"/>
  </cols>
  <sheetData>
    <row r="1" customFormat="false" ht="19.7" hidden="false" customHeight="true" outlineLevel="0" collapsed="false">
      <c r="A1" s="13" t="s">
        <v>146</v>
      </c>
      <c r="B1" s="13"/>
      <c r="C1" s="13"/>
      <c r="D1" s="13"/>
      <c r="E1" s="13"/>
      <c r="F1" s="13"/>
      <c r="G1" s="13"/>
      <c r="H1" s="13"/>
    </row>
    <row r="2" customFormat="false" ht="15" hidden="false" customHeight="false" outlineLevel="0" collapsed="false">
      <c r="A2" s="3" t="s">
        <v>147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148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B5" s="39" t="s">
        <v>149</v>
      </c>
      <c r="C5" s="40" t="n">
        <v>0.08</v>
      </c>
      <c r="D5" s="40" t="n">
        <v>0.1</v>
      </c>
      <c r="E5" s="40" t="n">
        <v>0.12</v>
      </c>
      <c r="F5" s="40" t="n">
        <v>0.15</v>
      </c>
      <c r="G5" s="40" t="n">
        <v>0.18</v>
      </c>
      <c r="H5" s="40" t="n">
        <v>0.2</v>
      </c>
    </row>
    <row r="6" customFormat="false" ht="15" hidden="false" customHeight="false" outlineLevel="0" collapsed="false">
      <c r="B6" s="41" t="n">
        <v>0</v>
      </c>
      <c r="C6" s="25" t="n">
        <f aca="false">0+(Assumptions!$C$10*Assumptions!$C$11)*0.08</f>
        <v>448</v>
      </c>
      <c r="D6" s="25" t="n">
        <f aca="false">0+(Assumptions!$C$10*Assumptions!$C$11)*0.1</f>
        <v>560</v>
      </c>
      <c r="E6" s="25" t="n">
        <f aca="false">0+(Assumptions!$C$10*Assumptions!$C$11)*0.12</f>
        <v>672</v>
      </c>
      <c r="F6" s="25" t="n">
        <f aca="false">0+(Assumptions!$C$10*Assumptions!$C$11)*0.15</f>
        <v>840</v>
      </c>
      <c r="G6" s="25" t="n">
        <f aca="false">0+(Assumptions!$C$10*Assumptions!$C$11)*0.18</f>
        <v>1008</v>
      </c>
      <c r="H6" s="25" t="n">
        <f aca="false">0+(Assumptions!$C$10*Assumptions!$C$11)*0.2</f>
        <v>1120</v>
      </c>
    </row>
    <row r="7" customFormat="false" ht="15" hidden="false" customHeight="false" outlineLevel="0" collapsed="false">
      <c r="B7" s="41" t="n">
        <v>199</v>
      </c>
      <c r="C7" s="25" t="n">
        <f aca="false">199+(Assumptions!$C$10*Assumptions!$C$11)*0.08</f>
        <v>647</v>
      </c>
      <c r="D7" s="25" t="n">
        <f aca="false">199+(Assumptions!$C$10*Assumptions!$C$11)*0.1</f>
        <v>759</v>
      </c>
      <c r="E7" s="25" t="n">
        <f aca="false">199+(Assumptions!$C$10*Assumptions!$C$11)*0.12</f>
        <v>871</v>
      </c>
      <c r="F7" s="25" t="n">
        <f aca="false">199+(Assumptions!$C$10*Assumptions!$C$11)*0.15</f>
        <v>1039</v>
      </c>
      <c r="G7" s="25" t="n">
        <f aca="false">199+(Assumptions!$C$10*Assumptions!$C$11)*0.18</f>
        <v>1207</v>
      </c>
      <c r="H7" s="25" t="n">
        <f aca="false">199+(Assumptions!$C$10*Assumptions!$C$11)*0.2</f>
        <v>1319</v>
      </c>
    </row>
    <row r="8" customFormat="false" ht="15" hidden="false" customHeight="false" outlineLevel="0" collapsed="false">
      <c r="B8" s="41" t="n">
        <v>299</v>
      </c>
      <c r="C8" s="25" t="n">
        <f aca="false">299+(Assumptions!$C$10*Assumptions!$C$11)*0.08</f>
        <v>747</v>
      </c>
      <c r="D8" s="25" t="n">
        <f aca="false">299+(Assumptions!$C$10*Assumptions!$C$11)*0.1</f>
        <v>859</v>
      </c>
      <c r="E8" s="42" t="n">
        <f aca="false">299+(Assumptions!$C$10*Assumptions!$C$11)*0.12</f>
        <v>971</v>
      </c>
      <c r="F8" s="25" t="n">
        <f aca="false">299+(Assumptions!$C$10*Assumptions!$C$11)*0.15</f>
        <v>1139</v>
      </c>
      <c r="G8" s="25" t="n">
        <f aca="false">299+(Assumptions!$C$10*Assumptions!$C$11)*0.18</f>
        <v>1307</v>
      </c>
      <c r="H8" s="25" t="n">
        <f aca="false">299+(Assumptions!$C$10*Assumptions!$C$11)*0.2</f>
        <v>1419</v>
      </c>
    </row>
    <row r="9" customFormat="false" ht="15" hidden="false" customHeight="false" outlineLevel="0" collapsed="false">
      <c r="B9" s="41" t="n">
        <v>399</v>
      </c>
      <c r="C9" s="25" t="n">
        <f aca="false">399+(Assumptions!$C$10*Assumptions!$C$11)*0.08</f>
        <v>847</v>
      </c>
      <c r="D9" s="25" t="n">
        <f aca="false">399+(Assumptions!$C$10*Assumptions!$C$11)*0.1</f>
        <v>959</v>
      </c>
      <c r="E9" s="25" t="n">
        <f aca="false">399+(Assumptions!$C$10*Assumptions!$C$11)*0.12</f>
        <v>1071</v>
      </c>
      <c r="F9" s="25" t="n">
        <f aca="false">399+(Assumptions!$C$10*Assumptions!$C$11)*0.15</f>
        <v>1239</v>
      </c>
      <c r="G9" s="25" t="n">
        <f aca="false">399+(Assumptions!$C$10*Assumptions!$C$11)*0.18</f>
        <v>1407</v>
      </c>
      <c r="H9" s="25" t="n">
        <f aca="false">399+(Assumptions!$C$10*Assumptions!$C$11)*0.2</f>
        <v>1519</v>
      </c>
    </row>
    <row r="10" customFormat="false" ht="15" hidden="false" customHeight="false" outlineLevel="0" collapsed="false">
      <c r="B10" s="41" t="n">
        <v>499</v>
      </c>
      <c r="C10" s="25" t="n">
        <f aca="false">499+(Assumptions!$C$10*Assumptions!$C$11)*0.08</f>
        <v>947</v>
      </c>
      <c r="D10" s="25" t="n">
        <f aca="false">499+(Assumptions!$C$10*Assumptions!$C$11)*0.1</f>
        <v>1059</v>
      </c>
      <c r="E10" s="25" t="n">
        <f aca="false">499+(Assumptions!$C$10*Assumptions!$C$11)*0.12</f>
        <v>1171</v>
      </c>
      <c r="F10" s="25" t="n">
        <f aca="false">499+(Assumptions!$C$10*Assumptions!$C$11)*0.15</f>
        <v>1339</v>
      </c>
      <c r="G10" s="25" t="n">
        <f aca="false">499+(Assumptions!$C$10*Assumptions!$C$11)*0.18</f>
        <v>1507</v>
      </c>
      <c r="H10" s="25" t="n">
        <f aca="false">499+(Assumptions!$C$10*Assumptions!$C$11)*0.2</f>
        <v>1619</v>
      </c>
    </row>
    <row r="11" customFormat="false" ht="15" hidden="false" customHeight="false" outlineLevel="0" collapsed="false">
      <c r="B11" s="41" t="n">
        <v>599</v>
      </c>
      <c r="C11" s="25" t="n">
        <f aca="false">599+(Assumptions!$C$10*Assumptions!$C$11)*0.08</f>
        <v>1047</v>
      </c>
      <c r="D11" s="25" t="n">
        <f aca="false">599+(Assumptions!$C$10*Assumptions!$C$11)*0.1</f>
        <v>1159</v>
      </c>
      <c r="E11" s="25" t="n">
        <f aca="false">599+(Assumptions!$C$10*Assumptions!$C$11)*0.12</f>
        <v>1271</v>
      </c>
      <c r="F11" s="25" t="n">
        <f aca="false">599+(Assumptions!$C$10*Assumptions!$C$11)*0.15</f>
        <v>1439</v>
      </c>
      <c r="G11" s="25" t="n">
        <f aca="false">599+(Assumptions!$C$10*Assumptions!$C$11)*0.18</f>
        <v>1607</v>
      </c>
      <c r="H11" s="25" t="n">
        <f aca="false">599+(Assumptions!$C$10*Assumptions!$C$11)*0.2</f>
        <v>1719</v>
      </c>
    </row>
    <row r="14" customFormat="false" ht="15" hidden="false" customHeight="true" outlineLevel="0" collapsed="false">
      <c r="A14" s="4" t="s">
        <v>150</v>
      </c>
      <c r="B14" s="4"/>
      <c r="C14" s="4"/>
      <c r="D14" s="4"/>
      <c r="E14" s="4"/>
      <c r="F14" s="4"/>
      <c r="G14" s="4"/>
      <c r="H14" s="4"/>
    </row>
    <row r="15" customFormat="false" ht="15" hidden="false" customHeight="false" outlineLevel="0" collapsed="false">
      <c r="B15" s="39" t="s">
        <v>149</v>
      </c>
      <c r="C15" s="40" t="n">
        <v>0.08</v>
      </c>
      <c r="D15" s="40" t="n">
        <v>0.1</v>
      </c>
      <c r="E15" s="40" t="n">
        <v>0.12</v>
      </c>
      <c r="F15" s="40" t="n">
        <v>0.15</v>
      </c>
      <c r="G15" s="40" t="n">
        <v>0.18</v>
      </c>
      <c r="H15" s="40" t="n">
        <v>0.2</v>
      </c>
    </row>
    <row r="16" customFormat="false" ht="15" hidden="false" customHeight="false" outlineLevel="0" collapsed="false">
      <c r="B16" s="41" t="n">
        <v>0</v>
      </c>
      <c r="C16" s="34" t="n">
        <f aca="false">IFERROR(CEILING(Assumptions!$C$29/((0+(Assumptions!$C$10*Assumptions!$C$11)*0.08)*(1-Assumptions!$C$19)-Assumptions!$C$17-Assumptions!$C$18-Assumptions!$C$20),1),"n/a")</f>
        <v>32</v>
      </c>
      <c r="D16" s="34" t="n">
        <f aca="false">IFERROR(CEILING(Assumptions!$C$29/((0+(Assumptions!$C$10*Assumptions!$C$11)*0.1)*(1-Assumptions!$C$19)-Assumptions!$C$17-Assumptions!$C$18-Assumptions!$C$20),1),"n/a")</f>
        <v>7</v>
      </c>
      <c r="E16" s="34" t="n">
        <f aca="false">IFERROR(CEILING(Assumptions!$C$29/((0+(Assumptions!$C$10*Assumptions!$C$11)*0.12)*(1-Assumptions!$C$19)-Assumptions!$C$17-Assumptions!$C$18-Assumptions!$C$20),1),"n/a")</f>
        <v>4</v>
      </c>
      <c r="F16" s="34" t="n">
        <f aca="false">IFERROR(CEILING(Assumptions!$C$29/((0+(Assumptions!$C$10*Assumptions!$C$11)*0.15)*(1-Assumptions!$C$19)-Assumptions!$C$17-Assumptions!$C$18-Assumptions!$C$20),1),"n/a")</f>
        <v>3</v>
      </c>
      <c r="G16" s="34" t="n">
        <f aca="false">IFERROR(CEILING(Assumptions!$C$29/((0+(Assumptions!$C$10*Assumptions!$C$11)*0.18)*(1-Assumptions!$C$19)-Assumptions!$C$17-Assumptions!$C$18-Assumptions!$C$20),1),"n/a")</f>
        <v>2</v>
      </c>
      <c r="H16" s="34" t="n">
        <f aca="false">IFERROR(CEILING(Assumptions!$C$29/((0+(Assumptions!$C$10*Assumptions!$C$11)*0.2)*(1-Assumptions!$C$19)-Assumptions!$C$17-Assumptions!$C$18-Assumptions!$C$20),1),"n/a")</f>
        <v>2</v>
      </c>
    </row>
    <row r="17" customFormat="false" ht="15" hidden="false" customHeight="false" outlineLevel="0" collapsed="false">
      <c r="B17" s="41" t="n">
        <v>199</v>
      </c>
      <c r="C17" s="34" t="n">
        <f aca="false">IFERROR(CEILING(Assumptions!$C$29/((199+(Assumptions!$C$10*Assumptions!$C$11)*0.08)*(1-Assumptions!$C$19)-Assumptions!$C$17-Assumptions!$C$18-Assumptions!$C$20),1),"n/a")</f>
        <v>5</v>
      </c>
      <c r="D17" s="34" t="n">
        <f aca="false">IFERROR(CEILING(Assumptions!$C$29/((199+(Assumptions!$C$10*Assumptions!$C$11)*0.1)*(1-Assumptions!$C$19)-Assumptions!$C$17-Assumptions!$C$18-Assumptions!$C$20),1),"n/a")</f>
        <v>3</v>
      </c>
      <c r="E17" s="34" t="n">
        <f aca="false">IFERROR(CEILING(Assumptions!$C$29/((199+(Assumptions!$C$10*Assumptions!$C$11)*0.12)*(1-Assumptions!$C$19)-Assumptions!$C$17-Assumptions!$C$18-Assumptions!$C$20),1),"n/a")</f>
        <v>3</v>
      </c>
      <c r="F17" s="34" t="n">
        <f aca="false">IFERROR(CEILING(Assumptions!$C$29/((199+(Assumptions!$C$10*Assumptions!$C$11)*0.15)*(1-Assumptions!$C$19)-Assumptions!$C$17-Assumptions!$C$18-Assumptions!$C$20),1),"n/a")</f>
        <v>2</v>
      </c>
      <c r="G17" s="34" t="n">
        <f aca="false">IFERROR(CEILING(Assumptions!$C$29/((199+(Assumptions!$C$10*Assumptions!$C$11)*0.18)*(1-Assumptions!$C$19)-Assumptions!$C$17-Assumptions!$C$18-Assumptions!$C$20),1),"n/a")</f>
        <v>2</v>
      </c>
      <c r="H17" s="34" t="n">
        <f aca="false">IFERROR(CEILING(Assumptions!$C$29/((199+(Assumptions!$C$10*Assumptions!$C$11)*0.2)*(1-Assumptions!$C$19)-Assumptions!$C$17-Assumptions!$C$18-Assumptions!$C$20),1),"n/a")</f>
        <v>2</v>
      </c>
    </row>
    <row r="18" customFormat="false" ht="15" hidden="false" customHeight="false" outlineLevel="0" collapsed="false">
      <c r="B18" s="41" t="n">
        <v>299</v>
      </c>
      <c r="C18" s="34" t="n">
        <f aca="false">IFERROR(CEILING(Assumptions!$C$29/((299+(Assumptions!$C$10*Assumptions!$C$11)*0.08)*(1-Assumptions!$C$19)-Assumptions!$C$17-Assumptions!$C$18-Assumptions!$C$20),1),"n/a")</f>
        <v>3</v>
      </c>
      <c r="D18" s="34" t="n">
        <f aca="false">IFERROR(CEILING(Assumptions!$C$29/((299+(Assumptions!$C$10*Assumptions!$C$11)*0.1)*(1-Assumptions!$C$19)-Assumptions!$C$17-Assumptions!$C$18-Assumptions!$C$20),1),"n/a")</f>
        <v>3</v>
      </c>
      <c r="E18" s="43" t="n">
        <f aca="false">IFERROR(CEILING(Assumptions!$C$29/((299+(Assumptions!$C$10*Assumptions!$C$11)*0.12)*(1-Assumptions!$C$19)-Assumptions!$C$17-Assumptions!$C$18-Assumptions!$C$20),1),"n/a")</f>
        <v>2</v>
      </c>
      <c r="F18" s="34" t="n">
        <f aca="false">IFERROR(CEILING(Assumptions!$C$29/((299+(Assumptions!$C$10*Assumptions!$C$11)*0.15)*(1-Assumptions!$C$19)-Assumptions!$C$17-Assumptions!$C$18-Assumptions!$C$20),1),"n/a")</f>
        <v>2</v>
      </c>
      <c r="G18" s="34" t="n">
        <f aca="false">IFERROR(CEILING(Assumptions!$C$29/((299+(Assumptions!$C$10*Assumptions!$C$11)*0.18)*(1-Assumptions!$C$19)-Assumptions!$C$17-Assumptions!$C$18-Assumptions!$C$20),1),"n/a")</f>
        <v>2</v>
      </c>
      <c r="H18" s="34" t="n">
        <f aca="false">IFERROR(CEILING(Assumptions!$C$29/((299+(Assumptions!$C$10*Assumptions!$C$11)*0.2)*(1-Assumptions!$C$19)-Assumptions!$C$17-Assumptions!$C$18-Assumptions!$C$20),1),"n/a")</f>
        <v>1</v>
      </c>
    </row>
    <row r="19" customFormat="false" ht="15" hidden="false" customHeight="false" outlineLevel="0" collapsed="false">
      <c r="B19" s="41" t="n">
        <v>399</v>
      </c>
      <c r="C19" s="34" t="n">
        <f aca="false">IFERROR(CEILING(Assumptions!$C$29/((399+(Assumptions!$C$10*Assumptions!$C$11)*0.08)*(1-Assumptions!$C$19)-Assumptions!$C$17-Assumptions!$C$18-Assumptions!$C$20),1),"n/a")</f>
        <v>3</v>
      </c>
      <c r="D19" s="34" t="n">
        <f aca="false">IFERROR(CEILING(Assumptions!$C$29/((399+(Assumptions!$C$10*Assumptions!$C$11)*0.1)*(1-Assumptions!$C$19)-Assumptions!$C$17-Assumptions!$C$18-Assumptions!$C$20),1),"n/a")</f>
        <v>2</v>
      </c>
      <c r="E19" s="34" t="n">
        <f aca="false">IFERROR(CEILING(Assumptions!$C$29/((399+(Assumptions!$C$10*Assumptions!$C$11)*0.12)*(1-Assumptions!$C$19)-Assumptions!$C$17-Assumptions!$C$18-Assumptions!$C$20),1),"n/a")</f>
        <v>2</v>
      </c>
      <c r="F19" s="34" t="n">
        <f aca="false">IFERROR(CEILING(Assumptions!$C$29/((399+(Assumptions!$C$10*Assumptions!$C$11)*0.15)*(1-Assumptions!$C$19)-Assumptions!$C$17-Assumptions!$C$18-Assumptions!$C$20),1),"n/a")</f>
        <v>2</v>
      </c>
      <c r="G19" s="34" t="n">
        <f aca="false">IFERROR(CEILING(Assumptions!$C$29/((399+(Assumptions!$C$10*Assumptions!$C$11)*0.18)*(1-Assumptions!$C$19)-Assumptions!$C$17-Assumptions!$C$18-Assumptions!$C$20),1),"n/a")</f>
        <v>1</v>
      </c>
      <c r="H19" s="34" t="n">
        <f aca="false">IFERROR(CEILING(Assumptions!$C$29/((399+(Assumptions!$C$10*Assumptions!$C$11)*0.2)*(1-Assumptions!$C$19)-Assumptions!$C$17-Assumptions!$C$18-Assumptions!$C$20),1),"n/a")</f>
        <v>1</v>
      </c>
    </row>
    <row r="20" customFormat="false" ht="15" hidden="false" customHeight="false" outlineLevel="0" collapsed="false">
      <c r="B20" s="41" t="n">
        <v>499</v>
      </c>
      <c r="C20" s="34" t="n">
        <f aca="false">IFERROR(CEILING(Assumptions!$C$29/((499+(Assumptions!$C$10*Assumptions!$C$11)*0.08)*(1-Assumptions!$C$19)-Assumptions!$C$17-Assumptions!$C$18-Assumptions!$C$20),1),"n/a")</f>
        <v>2</v>
      </c>
      <c r="D20" s="34" t="n">
        <f aca="false">IFERROR(CEILING(Assumptions!$C$29/((499+(Assumptions!$C$10*Assumptions!$C$11)*0.1)*(1-Assumptions!$C$19)-Assumptions!$C$17-Assumptions!$C$18-Assumptions!$C$20),1),"n/a")</f>
        <v>2</v>
      </c>
      <c r="E20" s="34" t="n">
        <f aca="false">IFERROR(CEILING(Assumptions!$C$29/((499+(Assumptions!$C$10*Assumptions!$C$11)*0.12)*(1-Assumptions!$C$19)-Assumptions!$C$17-Assumptions!$C$18-Assumptions!$C$20),1),"n/a")</f>
        <v>2</v>
      </c>
      <c r="F20" s="34" t="n">
        <f aca="false">IFERROR(CEILING(Assumptions!$C$29/((499+(Assumptions!$C$10*Assumptions!$C$11)*0.15)*(1-Assumptions!$C$19)-Assumptions!$C$17-Assumptions!$C$18-Assumptions!$C$20),1),"n/a")</f>
        <v>2</v>
      </c>
      <c r="G20" s="34" t="n">
        <f aca="false">IFERROR(CEILING(Assumptions!$C$29/((499+(Assumptions!$C$10*Assumptions!$C$11)*0.18)*(1-Assumptions!$C$19)-Assumptions!$C$17-Assumptions!$C$18-Assumptions!$C$20),1),"n/a")</f>
        <v>1</v>
      </c>
      <c r="H20" s="34" t="n">
        <f aca="false">IFERROR(CEILING(Assumptions!$C$29/((499+(Assumptions!$C$10*Assumptions!$C$11)*0.2)*(1-Assumptions!$C$19)-Assumptions!$C$17-Assumptions!$C$18-Assumptions!$C$20),1),"n/a")</f>
        <v>1</v>
      </c>
    </row>
    <row r="21" customFormat="false" ht="15" hidden="false" customHeight="false" outlineLevel="0" collapsed="false">
      <c r="B21" s="41" t="n">
        <v>599</v>
      </c>
      <c r="C21" s="34" t="n">
        <f aca="false">IFERROR(CEILING(Assumptions!$C$29/((599+(Assumptions!$C$10*Assumptions!$C$11)*0.08)*(1-Assumptions!$C$19)-Assumptions!$C$17-Assumptions!$C$18-Assumptions!$C$20),1),"n/a")</f>
        <v>2</v>
      </c>
      <c r="D21" s="34" t="n">
        <f aca="false">IFERROR(CEILING(Assumptions!$C$29/((599+(Assumptions!$C$10*Assumptions!$C$11)*0.1)*(1-Assumptions!$C$19)-Assumptions!$C$17-Assumptions!$C$18-Assumptions!$C$20),1),"n/a")</f>
        <v>2</v>
      </c>
      <c r="E21" s="34" t="n">
        <f aca="false">IFERROR(CEILING(Assumptions!$C$29/((599+(Assumptions!$C$10*Assumptions!$C$11)*0.12)*(1-Assumptions!$C$19)-Assumptions!$C$17-Assumptions!$C$18-Assumptions!$C$20),1),"n/a")</f>
        <v>2</v>
      </c>
      <c r="F21" s="34" t="n">
        <f aca="false">IFERROR(CEILING(Assumptions!$C$29/((599+(Assumptions!$C$10*Assumptions!$C$11)*0.15)*(1-Assumptions!$C$19)-Assumptions!$C$17-Assumptions!$C$18-Assumptions!$C$20),1),"n/a")</f>
        <v>1</v>
      </c>
      <c r="G21" s="34" t="n">
        <f aca="false">IFERROR(CEILING(Assumptions!$C$29/((599+(Assumptions!$C$10*Assumptions!$C$11)*0.18)*(1-Assumptions!$C$19)-Assumptions!$C$17-Assumptions!$C$18-Assumptions!$C$20),1),"n/a")</f>
        <v>1</v>
      </c>
      <c r="H21" s="34" t="n">
        <f aca="false">IFERROR(CEILING(Assumptions!$C$29/((599+(Assumptions!$C$10*Assumptions!$C$11)*0.2)*(1-Assumptions!$C$19)-Assumptions!$C$17-Assumptions!$C$18-Assumptions!$C$20),1),"n/a")</f>
        <v>1</v>
      </c>
    </row>
    <row r="24" customFormat="false" ht="15" hidden="false" customHeight="false" outlineLevel="0" collapsed="false">
      <c r="B24" s="44" t="s">
        <v>151</v>
      </c>
      <c r="C24" s="44"/>
      <c r="D24" s="44"/>
      <c r="E24" s="44"/>
      <c r="F24" s="44"/>
      <c r="G24" s="44"/>
      <c r="H24" s="44"/>
    </row>
    <row r="25" customFormat="false" ht="15" hidden="false" customHeight="false" outlineLevel="0" collapsed="false">
      <c r="B25" s="3" t="s">
        <v>152</v>
      </c>
      <c r="C25" s="3"/>
      <c r="D25" s="3"/>
      <c r="E25" s="3"/>
      <c r="F25" s="3"/>
      <c r="G25" s="3"/>
      <c r="H25" s="3"/>
    </row>
    <row r="26" customFormat="false" ht="15" hidden="false" customHeight="false" outlineLevel="0" collapsed="false">
      <c r="B26" s="3" t="s">
        <v>153</v>
      </c>
      <c r="C26" s="3"/>
      <c r="D26" s="3"/>
      <c r="E26" s="3"/>
      <c r="F26" s="3"/>
      <c r="G26" s="3"/>
      <c r="H26" s="3"/>
    </row>
    <row r="27" customFormat="false" ht="15" hidden="false" customHeight="false" outlineLevel="0" collapsed="false">
      <c r="B27" s="3" t="s">
        <v>154</v>
      </c>
      <c r="C27" s="3"/>
      <c r="D27" s="3"/>
      <c r="E27" s="3"/>
      <c r="F27" s="3"/>
      <c r="G27" s="3"/>
      <c r="H27" s="3"/>
    </row>
    <row r="28" customFormat="false" ht="15" hidden="false" customHeight="false" outlineLevel="0" collapsed="false">
      <c r="B28" s="3" t="s">
        <v>155</v>
      </c>
      <c r="C28" s="3"/>
      <c r="D28" s="3"/>
      <c r="E28" s="3"/>
      <c r="F28" s="3"/>
      <c r="G28" s="3"/>
      <c r="H28" s="3"/>
    </row>
  </sheetData>
  <mergeCells count="9">
    <mergeCell ref="A1:H1"/>
    <mergeCell ref="A2:H2"/>
    <mergeCell ref="A4:H4"/>
    <mergeCell ref="A14:H14"/>
    <mergeCell ref="B24:H24"/>
    <mergeCell ref="B25:H25"/>
    <mergeCell ref="B26:H26"/>
    <mergeCell ref="B27:H27"/>
    <mergeCell ref="B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4" min="3" style="1" width="20"/>
    <col collapsed="false" customWidth="true" hidden="false" outlineLevel="0" max="5" min="5" style="1" width="5"/>
  </cols>
  <sheetData>
    <row r="1" customFormat="false" ht="19.7" hidden="false" customHeight="true" outlineLevel="0" collapsed="false">
      <c r="A1" s="13" t="s">
        <v>156</v>
      </c>
      <c r="B1" s="13"/>
      <c r="C1" s="13"/>
      <c r="D1" s="13"/>
    </row>
    <row r="2" customFormat="false" ht="15" hidden="false" customHeight="false" outlineLevel="0" collapsed="false">
      <c r="A2" s="3" t="s">
        <v>157</v>
      </c>
      <c r="B2" s="3"/>
      <c r="C2" s="3"/>
      <c r="D2" s="3"/>
    </row>
    <row r="4" customFormat="false" ht="15" hidden="false" customHeight="true" outlineLevel="0" collapsed="false">
      <c r="A4" s="4" t="s">
        <v>158</v>
      </c>
      <c r="B4" s="4"/>
      <c r="C4" s="4"/>
      <c r="D4" s="4"/>
    </row>
    <row r="5" customFormat="false" ht="15" hidden="false" customHeight="false" outlineLevel="0" collapsed="false">
      <c r="B5" s="26" t="s">
        <v>159</v>
      </c>
      <c r="C5" s="12" t="s">
        <v>160</v>
      </c>
      <c r="D5" s="12"/>
    </row>
    <row r="6" customFormat="false" ht="15" hidden="false" customHeight="false" outlineLevel="0" collapsed="false">
      <c r="B6" s="26" t="s">
        <v>161</v>
      </c>
      <c r="C6" s="12" t="s">
        <v>162</v>
      </c>
      <c r="D6" s="12"/>
    </row>
    <row r="7" customFormat="false" ht="15" hidden="false" customHeight="false" outlineLevel="0" collapsed="false">
      <c r="B7" s="26" t="s">
        <v>163</v>
      </c>
      <c r="C7" s="12" t="s">
        <v>164</v>
      </c>
      <c r="D7" s="12"/>
    </row>
    <row r="8" customFormat="false" ht="15" hidden="false" customHeight="false" outlineLevel="0" collapsed="false">
      <c r="B8" s="26" t="s">
        <v>165</v>
      </c>
      <c r="C8" s="12" t="s">
        <v>166</v>
      </c>
      <c r="D8" s="12"/>
    </row>
    <row r="9" customFormat="false" ht="15" hidden="false" customHeight="false" outlineLevel="0" collapsed="false">
      <c r="B9" s="26" t="s">
        <v>167</v>
      </c>
      <c r="C9" s="12" t="s">
        <v>168</v>
      </c>
      <c r="D9" s="12"/>
    </row>
    <row r="11" customFormat="false" ht="15" hidden="false" customHeight="true" outlineLevel="0" collapsed="false">
      <c r="A11" s="4" t="s">
        <v>169</v>
      </c>
      <c r="B11" s="4"/>
      <c r="C11" s="4"/>
      <c r="D11" s="4"/>
    </row>
    <row r="12" customFormat="false" ht="15" hidden="false" customHeight="false" outlineLevel="0" collapsed="false">
      <c r="B12" s="45" t="s">
        <v>170</v>
      </c>
      <c r="C12" s="45" t="s">
        <v>171</v>
      </c>
      <c r="D12" s="45" t="s">
        <v>172</v>
      </c>
    </row>
    <row r="13" customFormat="false" ht="15" hidden="false" customHeight="false" outlineLevel="0" collapsed="false">
      <c r="B13" s="1" t="s">
        <v>173</v>
      </c>
      <c r="C13" s="46" t="str">
        <f aca="false">TEXT(Assumptions!$C$5, "$#,##0") &amp; " flat"</f>
        <v>$299 flat</v>
      </c>
      <c r="D13" s="24" t="n">
        <f aca="false">Assumptions!$C$5</f>
        <v>299</v>
      </c>
    </row>
    <row r="14" customFormat="false" ht="15" hidden="false" customHeight="false" outlineLevel="0" collapsed="false">
      <c r="B14" s="15" t="s">
        <v>174</v>
      </c>
      <c r="D14" s="18" t="n">
        <v>6000</v>
      </c>
    </row>
    <row r="15" customFormat="false" ht="15" hidden="false" customHeight="false" outlineLevel="0" collapsed="false">
      <c r="B15" s="1" t="s">
        <v>41</v>
      </c>
      <c r="C15" s="46" t="str">
        <f aca="false">TEXT(Assumptions!$C$6,"0%") &amp; " of recovered"</f>
        <v>12% of recovered</v>
      </c>
      <c r="D15" s="25" t="n">
        <f aca="false">D14*Assumptions!$C$6</f>
        <v>720</v>
      </c>
    </row>
    <row r="16" customFormat="false" ht="15" hidden="false" customHeight="false" outlineLevel="0" collapsed="false">
      <c r="B16" s="26" t="s">
        <v>175</v>
      </c>
      <c r="D16" s="27" t="n">
        <f aca="false">D13+D15</f>
        <v>1019</v>
      </c>
    </row>
    <row r="17" customFormat="false" ht="15" hidden="false" customHeight="false" outlineLevel="0" collapsed="false">
      <c r="B17" s="1" t="s">
        <v>176</v>
      </c>
      <c r="C17" s="46" t="str">
        <f aca="false">TEXT(Assumptions!$C$7,"0%") &amp; " × subtotal"</f>
        <v>13% × subtotal</v>
      </c>
      <c r="D17" s="25" t="n">
        <f aca="false">D16*Assumptions!$C$7</f>
        <v>132.47</v>
      </c>
    </row>
    <row r="18" customFormat="false" ht="16.15" hidden="false" customHeight="false" outlineLevel="0" collapsed="false">
      <c r="B18" s="26" t="s">
        <v>177</v>
      </c>
      <c r="D18" s="47" t="n">
        <f aca="false">D16+D17</f>
        <v>1151.47</v>
      </c>
    </row>
    <row r="20" customFormat="false" ht="15" hidden="false" customHeight="true" outlineLevel="0" collapsed="false">
      <c r="A20" s="4" t="s">
        <v>178</v>
      </c>
      <c r="B20" s="4"/>
      <c r="C20" s="4"/>
      <c r="D20" s="4"/>
    </row>
    <row r="21" customFormat="false" ht="15" hidden="false" customHeight="false" outlineLevel="0" collapsed="false">
      <c r="B21" s="1" t="s">
        <v>179</v>
      </c>
      <c r="D21" s="25" t="n">
        <f aca="false">D16</f>
        <v>1019</v>
      </c>
    </row>
    <row r="22" customFormat="false" ht="15" hidden="false" customHeight="false" outlineLevel="0" collapsed="false">
      <c r="B22" s="1" t="s">
        <v>180</v>
      </c>
      <c r="D22" s="24" t="n">
        <f aca="false">-D16*Assumptions!$C$19</f>
        <v>-29.551</v>
      </c>
    </row>
    <row r="23" customFormat="false" ht="15" hidden="false" customHeight="false" outlineLevel="0" collapsed="false">
      <c r="B23" s="1" t="s">
        <v>181</v>
      </c>
      <c r="D23" s="24" t="n">
        <f aca="false">-Assumptions!$C$17</f>
        <v>-280</v>
      </c>
    </row>
    <row r="24" customFormat="false" ht="15" hidden="false" customHeight="false" outlineLevel="0" collapsed="false">
      <c r="B24" s="1" t="s">
        <v>182</v>
      </c>
      <c r="D24" s="24" t="n">
        <f aca="false">-Assumptions!$C$18</f>
        <v>-75</v>
      </c>
    </row>
    <row r="25" customFormat="false" ht="15" hidden="false" customHeight="false" outlineLevel="0" collapsed="false">
      <c r="B25" s="1" t="s">
        <v>183</v>
      </c>
      <c r="D25" s="24" t="n">
        <f aca="false">-Assumptions!$C$20</f>
        <v>-50</v>
      </c>
    </row>
    <row r="26" customFormat="false" ht="15" hidden="false" customHeight="false" outlineLevel="0" collapsed="false">
      <c r="B26" s="26" t="s">
        <v>184</v>
      </c>
      <c r="D26" s="28" t="n">
        <f aca="false">SUM(D21:D25)</f>
        <v>584.449</v>
      </c>
    </row>
    <row r="28" customFormat="false" ht="15" hidden="false" customHeight="false" outlineLevel="0" collapsed="false">
      <c r="B28" s="3" t="s">
        <v>185</v>
      </c>
      <c r="C28" s="3"/>
      <c r="D28" s="3"/>
    </row>
  </sheetData>
  <mergeCells count="11">
    <mergeCell ref="A1:D1"/>
    <mergeCell ref="A2:D2"/>
    <mergeCell ref="A4:D4"/>
    <mergeCell ref="C5:D5"/>
    <mergeCell ref="C6:D6"/>
    <mergeCell ref="C7:D7"/>
    <mergeCell ref="C8:D8"/>
    <mergeCell ref="C9:D9"/>
    <mergeCell ref="A11:D11"/>
    <mergeCell ref="A20:D20"/>
    <mergeCell ref="B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2026-04-19T20:28:00Z</dcterms:created>
  <dc:creator>openpyxl</dc:creator>
  <dc:description/>
  <dc:language>en-US</dc:language>
  <cp:lastModifiedBy/>
  <dcterms:modified xsi:type="dcterms:W3CDTF">2026-04-19T20:30:12Z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